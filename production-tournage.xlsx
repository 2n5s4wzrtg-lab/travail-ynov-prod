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pouillement" sheetId="1" state="visible" r:id="rId1"/>
    <sheet name="Ordre de tournage" sheetId="2" state="visible" r:id="rId2"/>
    <sheet name="Budget" sheetId="3" state="visible" r:id="rId3"/>
    <sheet name="Plan de travail" sheetId="4" state="visible" r:id="rId4"/>
  </sheets>
  <definedNames>
    <definedName name="_xlnm._FilterDatabase" localSheetId="0" hidden="1">'Dépouillement'!$A$5:$M$65</definedName>
    <definedName name="_xlnm._FilterDatabase" localSheetId="2" hidden="1">'Budget'!$A$5:$K$45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hh:mm"/>
    <numFmt numFmtId="166" formatCode="#,##0.00 &quot;€&quot;;-#,##0.00 &quot;€&quot;;&quot;-&quot;"/>
    <numFmt numFmtId="167" formatCode="yyyy-mm-dd"/>
    <numFmt numFmtId="168" formatCode="dd/mm/yyyy"/>
  </numFmts>
  <fonts count="7">
    <font>
      <name val="Calibri"/>
      <family val="2"/>
      <color theme="1"/>
      <sz val="11"/>
      <scheme val="minor"/>
    </font>
    <font>
      <name val="Arial"/>
      <b val="1"/>
      <sz val="18"/>
    </font>
    <font>
      <name val="Arial"/>
      <i val="1"/>
      <color rgb="007A7266"/>
      <sz val="9"/>
    </font>
    <font>
      <name val="Arial"/>
      <b val="1"/>
      <color rgb="007A7266"/>
      <sz val="9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EDE4D3"/>
      </patternFill>
    </fill>
    <fill>
      <patternFill patternType="solid">
        <fgColor rgb="00161616"/>
      </patternFill>
    </fill>
    <fill>
      <patternFill patternType="solid">
        <fgColor rgb="00FFFFFF"/>
      </patternFill>
    </fill>
    <fill>
      <patternFill patternType="solid">
        <fgColor rgb="00D9CBB0"/>
      </patternFill>
    </fill>
  </fills>
  <borders count="2">
    <border>
      <left/>
      <right/>
      <top/>
      <bottom/>
      <diagonal/>
    </border>
    <border>
      <left style="thin">
        <color rgb="00D8CFBD"/>
      </left>
      <right style="thin">
        <color rgb="00D8CFBD"/>
      </right>
      <top style="thin">
        <color rgb="00D8CFBD"/>
      </top>
      <bottom style="thin">
        <color rgb="00D8CFB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164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165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top" wrapText="1"/>
    </xf>
    <xf numFmtId="0" fontId="6" fillId="2" borderId="1" applyAlignment="1" pivotButton="0" quotePrefix="0" xfId="0">
      <alignment vertical="top" wrapText="1"/>
    </xf>
    <xf numFmtId="165" fontId="6" fillId="2" borderId="1" applyAlignment="1" pivotButton="0" quotePrefix="0" xfId="0">
      <alignment horizontal="center" vertical="top" wrapText="1"/>
    </xf>
    <xf numFmtId="0" fontId="5" fillId="3" borderId="0" pivotButton="0" quotePrefix="0" xfId="0"/>
    <xf numFmtId="0" fontId="0" fillId="3" borderId="0" pivotButton="0" quotePrefix="0" xfId="0"/>
    <xf numFmtId="166" fontId="6" fillId="0" borderId="1" applyAlignment="1" pivotButton="0" quotePrefix="0" xfId="0">
      <alignment vertical="top" wrapText="1"/>
    </xf>
    <xf numFmtId="166" fontId="6" fillId="2" borderId="1" applyAlignment="1" pivotButton="0" quotePrefix="0" xfId="0">
      <alignment vertical="top" wrapText="1"/>
    </xf>
    <xf numFmtId="9" fontId="6" fillId="2" borderId="1" applyAlignment="1" pivotButton="0" quotePrefix="0" xfId="0">
      <alignment horizontal="center" vertical="top" wrapText="1"/>
    </xf>
    <xf numFmtId="166" fontId="4" fillId="4" borderId="1" applyAlignment="1" pivotButton="0" quotePrefix="0" xfId="0">
      <alignment horizontal="right" vertical="center"/>
    </xf>
    <xf numFmtId="166" fontId="4" fillId="2" borderId="1" applyAlignment="1" pivotButton="0" quotePrefix="0" xfId="0">
      <alignment horizontal="right" vertical="center"/>
    </xf>
    <xf numFmtId="9" fontId="4" fillId="2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/>
    </xf>
    <xf numFmtId="0" fontId="6" fillId="4" borderId="1" pivotButton="0" quotePrefix="0" xfId="0"/>
    <xf numFmtId="166" fontId="6" fillId="2" borderId="1" pivotButton="0" quotePrefix="0" xfId="0"/>
    <xf numFmtId="0" fontId="4" fillId="5" borderId="1" pivotButton="0" quotePrefix="0" xfId="0"/>
    <xf numFmtId="166" fontId="4" fillId="5" borderId="1" pivotButton="0" quotePrefix="0" xfId="0"/>
    <xf numFmtId="168" fontId="4" fillId="4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3">
    <dxf>
      <font>
        <name val="Arial"/>
        <strike val="1"/>
        <color rgb="009A9488"/>
      </font>
      <fill>
        <patternFill patternType="solid">
          <bgColor rgb="00E6E3DC"/>
        </patternFill>
      </fill>
    </dxf>
    <dxf>
      <fill>
        <patternFill patternType="solid">
          <bgColor rgb="00D9CBB0"/>
        </patternFill>
      </fill>
    </dxf>
    <dxf>
      <font>
        <name val="Arial"/>
        <b val="1"/>
        <color rgb="00B3261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61616"/>
    <outlinePr summaryBelow="1" summaryRight="1"/>
    <pageSetUpPr fitToPage="1"/>
  </sheetPr>
  <dimension ref="A1:M6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7" customWidth="1" min="3" max="3"/>
    <col width="9" customWidth="1" min="4" max="4"/>
    <col width="38" customWidth="1" min="5" max="5"/>
    <col width="22" customWidth="1" min="6" max="6"/>
    <col width="14" customWidth="1" min="7" max="7"/>
    <col width="22" customWidth="1" min="8" max="8"/>
    <col width="24" customWidth="1" min="9" max="9"/>
    <col width="26" customWidth="1" min="10" max="10"/>
    <col width="22" customWidth="1" min="11" max="11"/>
    <col width="11" customWidth="1" min="12" max="12"/>
    <col width="26" customWidth="1" min="13" max="13"/>
  </cols>
  <sheetData>
    <row r="1" ht="30" customHeight="1">
      <c r="A1" s="1" t="inlineStr">
        <is>
          <t>Dépouillement</t>
        </is>
      </c>
    </row>
    <row r="2">
      <c r="A2" s="2" t="inlineStr">
        <is>
          <t>Cases blanches = à remplir · cases beiges = automatiques (ne pas écraser). La ligne 6 est un exemple à remplacer. Le n° de séquence sert de clé : il alimente l'Ordre de tournage et le Plan de travail.</t>
        </is>
      </c>
    </row>
    <row r="3">
      <c r="B3" s="3" t="inlineStr">
        <is>
          <t>Séquences :</t>
        </is>
      </c>
      <c r="C3" s="4">
        <f>COUNT(A6:A65)</f>
        <v/>
      </c>
      <c r="E3" s="5" t="inlineStr">
        <is>
          <t>Durée totale estimée (h) :</t>
        </is>
      </c>
      <c r="F3" s="6">
        <f>SUM(L6:L65)/60</f>
        <v/>
      </c>
    </row>
    <row r="5" ht="32" customHeight="1">
      <c r="A5" s="7" t="inlineStr">
        <is>
          <t>Séq.</t>
        </is>
      </c>
      <c r="B5" s="7" t="inlineStr">
        <is>
          <t>Décor</t>
        </is>
      </c>
      <c r="C5" s="7" t="inlineStr">
        <is>
          <t>I/E</t>
        </is>
      </c>
      <c r="D5" s="7" t="inlineStr">
        <is>
          <t>J/N</t>
        </is>
      </c>
      <c r="E5" s="7" t="inlineStr">
        <is>
          <t>Description de l'action</t>
        </is>
      </c>
      <c r="F5" s="7" t="inlineStr">
        <is>
          <t>Personnages</t>
        </is>
      </c>
      <c r="G5" s="7" t="inlineStr">
        <is>
          <t>Figurants</t>
        </is>
      </c>
      <c r="H5" s="7" t="inlineStr">
        <is>
          <t>Accessoires</t>
        </is>
      </c>
      <c r="I5" s="7" t="inlineStr">
        <is>
          <t>Costumes / Maquillage</t>
        </is>
      </c>
      <c r="J5" s="7" t="inlineStr">
        <is>
          <t>Matériel / Technique</t>
        </is>
      </c>
      <c r="K5" s="7" t="inlineStr">
        <is>
          <t>Son / Effets</t>
        </is>
      </c>
      <c r="L5" s="7" t="inlineStr">
        <is>
          <t>Durée est. (min)</t>
        </is>
      </c>
      <c r="M5" s="7" t="inlineStr">
        <is>
          <t>Notes</t>
        </is>
      </c>
    </row>
    <row r="6" ht="20" customHeight="1">
      <c r="A6" s="8" t="n">
        <v>1</v>
      </c>
      <c r="B6" s="9" t="inlineStr">
        <is>
          <t>Salon</t>
        </is>
      </c>
      <c r="C6" s="8" t="inlineStr">
        <is>
          <t>INT</t>
        </is>
      </c>
      <c r="D6" s="8" t="inlineStr">
        <is>
          <t>JOUR</t>
        </is>
      </c>
      <c r="E6" s="9" t="inlineStr">
        <is>
          <t>Léa découvre une lettre sur la table et la lit.</t>
        </is>
      </c>
      <c r="F6" s="9" t="inlineStr">
        <is>
          <t>Léa</t>
        </is>
      </c>
      <c r="G6" s="9" t="inlineStr">
        <is>
          <t>—</t>
        </is>
      </c>
      <c r="H6" s="9" t="inlineStr">
        <is>
          <t>Lettre, tasse</t>
        </is>
      </c>
      <c r="I6" s="9" t="inlineStr">
        <is>
          <t>Pull beige</t>
        </is>
      </c>
      <c r="J6" s="9" t="inlineStr">
        <is>
          <t>Trépied, réflecteur</t>
        </is>
      </c>
      <c r="K6" s="9" t="inlineStr">
        <is>
          <t>Ambiance salon</t>
        </is>
      </c>
      <c r="L6" s="8" t="n">
        <v>90</v>
      </c>
      <c r="M6" s="9" t="inlineStr">
        <is>
          <t>Exemple – à remplacer</t>
        </is>
      </c>
    </row>
    <row r="7" ht="20" customHeight="1">
      <c r="A7" s="8" t="n">
        <v>2</v>
      </c>
      <c r="B7" s="9" t="inlineStr">
        <is>
          <t>Cour</t>
        </is>
      </c>
      <c r="C7" s="8" t="inlineStr">
        <is>
          <t>EXT</t>
        </is>
      </c>
      <c r="D7" s="8" t="inlineStr">
        <is>
          <t>JOUR</t>
        </is>
      </c>
      <c r="E7" s="9" t="inlineStr">
        <is>
          <t>Léa sort et croise Tom.</t>
        </is>
      </c>
      <c r="F7" s="9" t="inlineStr">
        <is>
          <t>Léa, Tom</t>
        </is>
      </c>
      <c r="G7" s="9" t="inlineStr">
        <is>
          <t>2</t>
        </is>
      </c>
      <c r="H7" s="9" t="inlineStr">
        <is>
          <t>Sac à dos</t>
        </is>
      </c>
      <c r="I7" s="9" t="inlineStr">
        <is>
          <t>Manteau</t>
        </is>
      </c>
      <c r="J7" s="9" t="inlineStr">
        <is>
          <t>Stabilisateur</t>
        </is>
      </c>
      <c r="K7" s="9" t="inlineStr">
        <is>
          <t>Pas, vent</t>
        </is>
      </c>
      <c r="L7" s="8" t="n">
        <v>120</v>
      </c>
      <c r="M7" s="9" t="inlineStr">
        <is>
          <t>Exemple – à remplacer</t>
        </is>
      </c>
    </row>
    <row r="8" ht="20" customHeight="1">
      <c r="A8" s="8" t="n"/>
      <c r="B8" s="9" t="n"/>
      <c r="C8" s="8" t="n"/>
      <c r="D8" s="8" t="n"/>
      <c r="E8" s="9" t="n"/>
      <c r="F8" s="9" t="n"/>
      <c r="G8" s="9" t="n"/>
      <c r="H8" s="9" t="n"/>
      <c r="I8" s="9" t="n"/>
      <c r="J8" s="9" t="n"/>
      <c r="K8" s="9" t="n"/>
      <c r="L8" s="8" t="n"/>
      <c r="M8" s="9" t="n"/>
    </row>
    <row r="9" ht="20" customHeight="1">
      <c r="A9" s="8" t="n"/>
      <c r="B9" s="9" t="n"/>
      <c r="C9" s="8" t="n"/>
      <c r="D9" s="8" t="n"/>
      <c r="E9" s="9" t="n"/>
      <c r="F9" s="9" t="n"/>
      <c r="G9" s="9" t="n"/>
      <c r="H9" s="9" t="n"/>
      <c r="I9" s="9" t="n"/>
      <c r="J9" s="9" t="n"/>
      <c r="K9" s="9" t="n"/>
      <c r="L9" s="8" t="n"/>
      <c r="M9" s="9" t="n"/>
    </row>
    <row r="10" ht="20" customHeight="1">
      <c r="A10" s="8" t="n"/>
      <c r="B10" s="9" t="n"/>
      <c r="C10" s="8" t="n"/>
      <c r="D10" s="8" t="n"/>
      <c r="E10" s="9" t="n"/>
      <c r="F10" s="9" t="n"/>
      <c r="G10" s="9" t="n"/>
      <c r="H10" s="9" t="n"/>
      <c r="I10" s="9" t="n"/>
      <c r="J10" s="9" t="n"/>
      <c r="K10" s="9" t="n"/>
      <c r="L10" s="8" t="n"/>
      <c r="M10" s="9" t="n"/>
    </row>
    <row r="11" ht="20" customHeight="1">
      <c r="A11" s="8" t="n"/>
      <c r="B11" s="9" t="n"/>
      <c r="C11" s="8" t="n"/>
      <c r="D11" s="8" t="n"/>
      <c r="E11" s="9" t="n"/>
      <c r="F11" s="9" t="n"/>
      <c r="G11" s="9" t="n"/>
      <c r="H11" s="9" t="n"/>
      <c r="I11" s="9" t="n"/>
      <c r="J11" s="9" t="n"/>
      <c r="K11" s="9" t="n"/>
      <c r="L11" s="8" t="n"/>
      <c r="M11" s="9" t="n"/>
    </row>
    <row r="12" ht="20" customHeight="1">
      <c r="A12" s="8" t="n"/>
      <c r="B12" s="9" t="n"/>
      <c r="C12" s="8" t="n"/>
      <c r="D12" s="8" t="n"/>
      <c r="E12" s="9" t="n"/>
      <c r="F12" s="9" t="n"/>
      <c r="G12" s="9" t="n"/>
      <c r="H12" s="9" t="n"/>
      <c r="I12" s="9" t="n"/>
      <c r="J12" s="9" t="n"/>
      <c r="K12" s="9" t="n"/>
      <c r="L12" s="8" t="n"/>
      <c r="M12" s="9" t="n"/>
    </row>
    <row r="13" ht="20" customHeight="1">
      <c r="A13" s="8" t="n"/>
      <c r="B13" s="9" t="n"/>
      <c r="C13" s="8" t="n"/>
      <c r="D13" s="8" t="n"/>
      <c r="E13" s="9" t="n"/>
      <c r="F13" s="9" t="n"/>
      <c r="G13" s="9" t="n"/>
      <c r="H13" s="9" t="n"/>
      <c r="I13" s="9" t="n"/>
      <c r="J13" s="9" t="n"/>
      <c r="K13" s="9" t="n"/>
      <c r="L13" s="8" t="n"/>
      <c r="M13" s="9" t="n"/>
    </row>
    <row r="14" ht="20" customHeight="1">
      <c r="A14" s="8" t="n"/>
      <c r="B14" s="9" t="n"/>
      <c r="C14" s="8" t="n"/>
      <c r="D14" s="8" t="n"/>
      <c r="E14" s="9" t="n"/>
      <c r="F14" s="9" t="n"/>
      <c r="G14" s="9" t="n"/>
      <c r="H14" s="9" t="n"/>
      <c r="I14" s="9" t="n"/>
      <c r="J14" s="9" t="n"/>
      <c r="K14" s="9" t="n"/>
      <c r="L14" s="8" t="n"/>
      <c r="M14" s="9" t="n"/>
    </row>
    <row r="15" ht="20" customHeight="1">
      <c r="A15" s="8" t="n"/>
      <c r="B15" s="9" t="n"/>
      <c r="C15" s="8" t="n"/>
      <c r="D15" s="8" t="n"/>
      <c r="E15" s="9" t="n"/>
      <c r="F15" s="9" t="n"/>
      <c r="G15" s="9" t="n"/>
      <c r="H15" s="9" t="n"/>
      <c r="I15" s="9" t="n"/>
      <c r="J15" s="9" t="n"/>
      <c r="K15" s="9" t="n"/>
      <c r="L15" s="8" t="n"/>
      <c r="M15" s="9" t="n"/>
    </row>
    <row r="16" ht="20" customHeight="1">
      <c r="A16" s="8" t="n"/>
      <c r="B16" s="9" t="n"/>
      <c r="C16" s="8" t="n"/>
      <c r="D16" s="8" t="n"/>
      <c r="E16" s="9" t="n"/>
      <c r="F16" s="9" t="n"/>
      <c r="G16" s="9" t="n"/>
      <c r="H16" s="9" t="n"/>
      <c r="I16" s="9" t="n"/>
      <c r="J16" s="9" t="n"/>
      <c r="K16" s="9" t="n"/>
      <c r="L16" s="8" t="n"/>
      <c r="M16" s="9" t="n"/>
    </row>
    <row r="17" ht="20" customHeight="1">
      <c r="A17" s="8" t="n"/>
      <c r="B17" s="9" t="n"/>
      <c r="C17" s="8" t="n"/>
      <c r="D17" s="8" t="n"/>
      <c r="E17" s="9" t="n"/>
      <c r="F17" s="9" t="n"/>
      <c r="G17" s="9" t="n"/>
      <c r="H17" s="9" t="n"/>
      <c r="I17" s="9" t="n"/>
      <c r="J17" s="9" t="n"/>
      <c r="K17" s="9" t="n"/>
      <c r="L17" s="8" t="n"/>
      <c r="M17" s="9" t="n"/>
    </row>
    <row r="18" ht="20" customHeight="1">
      <c r="A18" s="8" t="n"/>
      <c r="B18" s="9" t="n"/>
      <c r="C18" s="8" t="n"/>
      <c r="D18" s="8" t="n"/>
      <c r="E18" s="9" t="n"/>
      <c r="F18" s="9" t="n"/>
      <c r="G18" s="9" t="n"/>
      <c r="H18" s="9" t="n"/>
      <c r="I18" s="9" t="n"/>
      <c r="J18" s="9" t="n"/>
      <c r="K18" s="9" t="n"/>
      <c r="L18" s="8" t="n"/>
      <c r="M18" s="9" t="n"/>
    </row>
    <row r="19" ht="20" customHeight="1">
      <c r="A19" s="8" t="n"/>
      <c r="B19" s="9" t="n"/>
      <c r="C19" s="8" t="n"/>
      <c r="D19" s="8" t="n"/>
      <c r="E19" s="9" t="n"/>
      <c r="F19" s="9" t="n"/>
      <c r="G19" s="9" t="n"/>
      <c r="H19" s="9" t="n"/>
      <c r="I19" s="9" t="n"/>
      <c r="J19" s="9" t="n"/>
      <c r="K19" s="9" t="n"/>
      <c r="L19" s="8" t="n"/>
      <c r="M19" s="9" t="n"/>
    </row>
    <row r="20" ht="20" customHeight="1">
      <c r="A20" s="8" t="n"/>
      <c r="B20" s="9" t="n"/>
      <c r="C20" s="8" t="n"/>
      <c r="D20" s="8" t="n"/>
      <c r="E20" s="9" t="n"/>
      <c r="F20" s="9" t="n"/>
      <c r="G20" s="9" t="n"/>
      <c r="H20" s="9" t="n"/>
      <c r="I20" s="9" t="n"/>
      <c r="J20" s="9" t="n"/>
      <c r="K20" s="9" t="n"/>
      <c r="L20" s="8" t="n"/>
      <c r="M20" s="9" t="n"/>
    </row>
    <row r="21" ht="20" customHeight="1">
      <c r="A21" s="8" t="n"/>
      <c r="B21" s="9" t="n"/>
      <c r="C21" s="8" t="n"/>
      <c r="D21" s="8" t="n"/>
      <c r="E21" s="9" t="n"/>
      <c r="F21" s="9" t="n"/>
      <c r="G21" s="9" t="n"/>
      <c r="H21" s="9" t="n"/>
      <c r="I21" s="9" t="n"/>
      <c r="J21" s="9" t="n"/>
      <c r="K21" s="9" t="n"/>
      <c r="L21" s="8" t="n"/>
      <c r="M21" s="9" t="n"/>
    </row>
    <row r="22" ht="20" customHeight="1">
      <c r="A22" s="8" t="n"/>
      <c r="B22" s="9" t="n"/>
      <c r="C22" s="8" t="n"/>
      <c r="D22" s="8" t="n"/>
      <c r="E22" s="9" t="n"/>
      <c r="F22" s="9" t="n"/>
      <c r="G22" s="9" t="n"/>
      <c r="H22" s="9" t="n"/>
      <c r="I22" s="9" t="n"/>
      <c r="J22" s="9" t="n"/>
      <c r="K22" s="9" t="n"/>
      <c r="L22" s="8" t="n"/>
      <c r="M22" s="9" t="n"/>
    </row>
    <row r="23" ht="20" customHeight="1">
      <c r="A23" s="8" t="n"/>
      <c r="B23" s="9" t="n"/>
      <c r="C23" s="8" t="n"/>
      <c r="D23" s="8" t="n"/>
      <c r="E23" s="9" t="n"/>
      <c r="F23" s="9" t="n"/>
      <c r="G23" s="9" t="n"/>
      <c r="H23" s="9" t="n"/>
      <c r="I23" s="9" t="n"/>
      <c r="J23" s="9" t="n"/>
      <c r="K23" s="9" t="n"/>
      <c r="L23" s="8" t="n"/>
      <c r="M23" s="9" t="n"/>
    </row>
    <row r="24" ht="20" customHeight="1">
      <c r="A24" s="8" t="n"/>
      <c r="B24" s="9" t="n"/>
      <c r="C24" s="8" t="n"/>
      <c r="D24" s="8" t="n"/>
      <c r="E24" s="9" t="n"/>
      <c r="F24" s="9" t="n"/>
      <c r="G24" s="9" t="n"/>
      <c r="H24" s="9" t="n"/>
      <c r="I24" s="9" t="n"/>
      <c r="J24" s="9" t="n"/>
      <c r="K24" s="9" t="n"/>
      <c r="L24" s="8" t="n"/>
      <c r="M24" s="9" t="n"/>
    </row>
    <row r="25" ht="20" customHeight="1">
      <c r="A25" s="8" t="n"/>
      <c r="B25" s="9" t="n"/>
      <c r="C25" s="8" t="n"/>
      <c r="D25" s="8" t="n"/>
      <c r="E25" s="9" t="n"/>
      <c r="F25" s="9" t="n"/>
      <c r="G25" s="9" t="n"/>
      <c r="H25" s="9" t="n"/>
      <c r="I25" s="9" t="n"/>
      <c r="J25" s="9" t="n"/>
      <c r="K25" s="9" t="n"/>
      <c r="L25" s="8" t="n"/>
      <c r="M25" s="9" t="n"/>
    </row>
    <row r="26" ht="20" customHeight="1">
      <c r="A26" s="8" t="n"/>
      <c r="B26" s="9" t="n"/>
      <c r="C26" s="8" t="n"/>
      <c r="D26" s="8" t="n"/>
      <c r="E26" s="9" t="n"/>
      <c r="F26" s="9" t="n"/>
      <c r="G26" s="9" t="n"/>
      <c r="H26" s="9" t="n"/>
      <c r="I26" s="9" t="n"/>
      <c r="J26" s="9" t="n"/>
      <c r="K26" s="9" t="n"/>
      <c r="L26" s="8" t="n"/>
      <c r="M26" s="9" t="n"/>
    </row>
    <row r="27" ht="20" customHeight="1">
      <c r="A27" s="8" t="n"/>
      <c r="B27" s="9" t="n"/>
      <c r="C27" s="8" t="n"/>
      <c r="D27" s="8" t="n"/>
      <c r="E27" s="9" t="n"/>
      <c r="F27" s="9" t="n"/>
      <c r="G27" s="9" t="n"/>
      <c r="H27" s="9" t="n"/>
      <c r="I27" s="9" t="n"/>
      <c r="J27" s="9" t="n"/>
      <c r="K27" s="9" t="n"/>
      <c r="L27" s="8" t="n"/>
      <c r="M27" s="9" t="n"/>
    </row>
    <row r="28" ht="20" customHeight="1">
      <c r="A28" s="8" t="n"/>
      <c r="B28" s="9" t="n"/>
      <c r="C28" s="8" t="n"/>
      <c r="D28" s="8" t="n"/>
      <c r="E28" s="9" t="n"/>
      <c r="F28" s="9" t="n"/>
      <c r="G28" s="9" t="n"/>
      <c r="H28" s="9" t="n"/>
      <c r="I28" s="9" t="n"/>
      <c r="J28" s="9" t="n"/>
      <c r="K28" s="9" t="n"/>
      <c r="L28" s="8" t="n"/>
      <c r="M28" s="9" t="n"/>
    </row>
    <row r="29" ht="20" customHeight="1">
      <c r="A29" s="8" t="n"/>
      <c r="B29" s="9" t="n"/>
      <c r="C29" s="8" t="n"/>
      <c r="D29" s="8" t="n"/>
      <c r="E29" s="9" t="n"/>
      <c r="F29" s="9" t="n"/>
      <c r="G29" s="9" t="n"/>
      <c r="H29" s="9" t="n"/>
      <c r="I29" s="9" t="n"/>
      <c r="J29" s="9" t="n"/>
      <c r="K29" s="9" t="n"/>
      <c r="L29" s="8" t="n"/>
      <c r="M29" s="9" t="n"/>
    </row>
    <row r="30" ht="20" customHeight="1">
      <c r="A30" s="8" t="n"/>
      <c r="B30" s="9" t="n"/>
      <c r="C30" s="8" t="n"/>
      <c r="D30" s="8" t="n"/>
      <c r="E30" s="9" t="n"/>
      <c r="F30" s="9" t="n"/>
      <c r="G30" s="9" t="n"/>
      <c r="H30" s="9" t="n"/>
      <c r="I30" s="9" t="n"/>
      <c r="J30" s="9" t="n"/>
      <c r="K30" s="9" t="n"/>
      <c r="L30" s="8" t="n"/>
      <c r="M30" s="9" t="n"/>
    </row>
    <row r="31" ht="20" customHeight="1">
      <c r="A31" s="8" t="n"/>
      <c r="B31" s="9" t="n"/>
      <c r="C31" s="8" t="n"/>
      <c r="D31" s="8" t="n"/>
      <c r="E31" s="9" t="n"/>
      <c r="F31" s="9" t="n"/>
      <c r="G31" s="9" t="n"/>
      <c r="H31" s="9" t="n"/>
      <c r="I31" s="9" t="n"/>
      <c r="J31" s="9" t="n"/>
      <c r="K31" s="9" t="n"/>
      <c r="L31" s="8" t="n"/>
      <c r="M31" s="9" t="n"/>
    </row>
    <row r="32" ht="20" customHeight="1">
      <c r="A32" s="8" t="n"/>
      <c r="B32" s="9" t="n"/>
      <c r="C32" s="8" t="n"/>
      <c r="D32" s="8" t="n"/>
      <c r="E32" s="9" t="n"/>
      <c r="F32" s="9" t="n"/>
      <c r="G32" s="9" t="n"/>
      <c r="H32" s="9" t="n"/>
      <c r="I32" s="9" t="n"/>
      <c r="J32" s="9" t="n"/>
      <c r="K32" s="9" t="n"/>
      <c r="L32" s="8" t="n"/>
      <c r="M32" s="9" t="n"/>
    </row>
    <row r="33" ht="20" customHeight="1">
      <c r="A33" s="8" t="n"/>
      <c r="B33" s="9" t="n"/>
      <c r="C33" s="8" t="n"/>
      <c r="D33" s="8" t="n"/>
      <c r="E33" s="9" t="n"/>
      <c r="F33" s="9" t="n"/>
      <c r="G33" s="9" t="n"/>
      <c r="H33" s="9" t="n"/>
      <c r="I33" s="9" t="n"/>
      <c r="J33" s="9" t="n"/>
      <c r="K33" s="9" t="n"/>
      <c r="L33" s="8" t="n"/>
      <c r="M33" s="9" t="n"/>
    </row>
    <row r="34" ht="20" customHeight="1">
      <c r="A34" s="8" t="n"/>
      <c r="B34" s="9" t="n"/>
      <c r="C34" s="8" t="n"/>
      <c r="D34" s="8" t="n"/>
      <c r="E34" s="9" t="n"/>
      <c r="F34" s="9" t="n"/>
      <c r="G34" s="9" t="n"/>
      <c r="H34" s="9" t="n"/>
      <c r="I34" s="9" t="n"/>
      <c r="J34" s="9" t="n"/>
      <c r="K34" s="9" t="n"/>
      <c r="L34" s="8" t="n"/>
      <c r="M34" s="9" t="n"/>
    </row>
    <row r="35" ht="20" customHeight="1">
      <c r="A35" s="8" t="n"/>
      <c r="B35" s="9" t="n"/>
      <c r="C35" s="8" t="n"/>
      <c r="D35" s="8" t="n"/>
      <c r="E35" s="9" t="n"/>
      <c r="F35" s="9" t="n"/>
      <c r="G35" s="9" t="n"/>
      <c r="H35" s="9" t="n"/>
      <c r="I35" s="9" t="n"/>
      <c r="J35" s="9" t="n"/>
      <c r="K35" s="9" t="n"/>
      <c r="L35" s="8" t="n"/>
      <c r="M35" s="9" t="n"/>
    </row>
    <row r="36" ht="20" customHeight="1">
      <c r="A36" s="8" t="n"/>
      <c r="B36" s="9" t="n"/>
      <c r="C36" s="8" t="n"/>
      <c r="D36" s="8" t="n"/>
      <c r="E36" s="9" t="n"/>
      <c r="F36" s="9" t="n"/>
      <c r="G36" s="9" t="n"/>
      <c r="H36" s="9" t="n"/>
      <c r="I36" s="9" t="n"/>
      <c r="J36" s="9" t="n"/>
      <c r="K36" s="9" t="n"/>
      <c r="L36" s="8" t="n"/>
      <c r="M36" s="9" t="n"/>
    </row>
    <row r="37" ht="20" customHeight="1">
      <c r="A37" s="8" t="n"/>
      <c r="B37" s="9" t="n"/>
      <c r="C37" s="8" t="n"/>
      <c r="D37" s="8" t="n"/>
      <c r="E37" s="9" t="n"/>
      <c r="F37" s="9" t="n"/>
      <c r="G37" s="9" t="n"/>
      <c r="H37" s="9" t="n"/>
      <c r="I37" s="9" t="n"/>
      <c r="J37" s="9" t="n"/>
      <c r="K37" s="9" t="n"/>
      <c r="L37" s="8" t="n"/>
      <c r="M37" s="9" t="n"/>
    </row>
    <row r="38" ht="20" customHeight="1">
      <c r="A38" s="8" t="n"/>
      <c r="B38" s="9" t="n"/>
      <c r="C38" s="8" t="n"/>
      <c r="D38" s="8" t="n"/>
      <c r="E38" s="9" t="n"/>
      <c r="F38" s="9" t="n"/>
      <c r="G38" s="9" t="n"/>
      <c r="H38" s="9" t="n"/>
      <c r="I38" s="9" t="n"/>
      <c r="J38" s="9" t="n"/>
      <c r="K38" s="9" t="n"/>
      <c r="L38" s="8" t="n"/>
      <c r="M38" s="9" t="n"/>
    </row>
    <row r="39" ht="20" customHeight="1">
      <c r="A39" s="8" t="n"/>
      <c r="B39" s="9" t="n"/>
      <c r="C39" s="8" t="n"/>
      <c r="D39" s="8" t="n"/>
      <c r="E39" s="9" t="n"/>
      <c r="F39" s="9" t="n"/>
      <c r="G39" s="9" t="n"/>
      <c r="H39" s="9" t="n"/>
      <c r="I39" s="9" t="n"/>
      <c r="J39" s="9" t="n"/>
      <c r="K39" s="9" t="n"/>
      <c r="L39" s="8" t="n"/>
      <c r="M39" s="9" t="n"/>
    </row>
    <row r="40" ht="20" customHeight="1">
      <c r="A40" s="8" t="n"/>
      <c r="B40" s="9" t="n"/>
      <c r="C40" s="8" t="n"/>
      <c r="D40" s="8" t="n"/>
      <c r="E40" s="9" t="n"/>
      <c r="F40" s="9" t="n"/>
      <c r="G40" s="9" t="n"/>
      <c r="H40" s="9" t="n"/>
      <c r="I40" s="9" t="n"/>
      <c r="J40" s="9" t="n"/>
      <c r="K40" s="9" t="n"/>
      <c r="L40" s="8" t="n"/>
      <c r="M40" s="9" t="n"/>
    </row>
    <row r="41" ht="20" customHeight="1">
      <c r="A41" s="8" t="n"/>
      <c r="B41" s="9" t="n"/>
      <c r="C41" s="8" t="n"/>
      <c r="D41" s="8" t="n"/>
      <c r="E41" s="9" t="n"/>
      <c r="F41" s="9" t="n"/>
      <c r="G41" s="9" t="n"/>
      <c r="H41" s="9" t="n"/>
      <c r="I41" s="9" t="n"/>
      <c r="J41" s="9" t="n"/>
      <c r="K41" s="9" t="n"/>
      <c r="L41" s="8" t="n"/>
      <c r="M41" s="9" t="n"/>
    </row>
    <row r="42" ht="20" customHeight="1">
      <c r="A42" s="8" t="n"/>
      <c r="B42" s="9" t="n"/>
      <c r="C42" s="8" t="n"/>
      <c r="D42" s="8" t="n"/>
      <c r="E42" s="9" t="n"/>
      <c r="F42" s="9" t="n"/>
      <c r="G42" s="9" t="n"/>
      <c r="H42" s="9" t="n"/>
      <c r="I42" s="9" t="n"/>
      <c r="J42" s="9" t="n"/>
      <c r="K42" s="9" t="n"/>
      <c r="L42" s="8" t="n"/>
      <c r="M42" s="9" t="n"/>
    </row>
    <row r="43" ht="20" customHeight="1">
      <c r="A43" s="8" t="n"/>
      <c r="B43" s="9" t="n"/>
      <c r="C43" s="8" t="n"/>
      <c r="D43" s="8" t="n"/>
      <c r="E43" s="9" t="n"/>
      <c r="F43" s="9" t="n"/>
      <c r="G43" s="9" t="n"/>
      <c r="H43" s="9" t="n"/>
      <c r="I43" s="9" t="n"/>
      <c r="J43" s="9" t="n"/>
      <c r="K43" s="9" t="n"/>
      <c r="L43" s="8" t="n"/>
      <c r="M43" s="9" t="n"/>
    </row>
    <row r="44" ht="20" customHeight="1">
      <c r="A44" s="8" t="n"/>
      <c r="B44" s="9" t="n"/>
      <c r="C44" s="8" t="n"/>
      <c r="D44" s="8" t="n"/>
      <c r="E44" s="9" t="n"/>
      <c r="F44" s="9" t="n"/>
      <c r="G44" s="9" t="n"/>
      <c r="H44" s="9" t="n"/>
      <c r="I44" s="9" t="n"/>
      <c r="J44" s="9" t="n"/>
      <c r="K44" s="9" t="n"/>
      <c r="L44" s="8" t="n"/>
      <c r="M44" s="9" t="n"/>
    </row>
    <row r="45" ht="20" customHeight="1">
      <c r="A45" s="8" t="n"/>
      <c r="B45" s="9" t="n"/>
      <c r="C45" s="8" t="n"/>
      <c r="D45" s="8" t="n"/>
      <c r="E45" s="9" t="n"/>
      <c r="F45" s="9" t="n"/>
      <c r="G45" s="9" t="n"/>
      <c r="H45" s="9" t="n"/>
      <c r="I45" s="9" t="n"/>
      <c r="J45" s="9" t="n"/>
      <c r="K45" s="9" t="n"/>
      <c r="L45" s="8" t="n"/>
      <c r="M45" s="9" t="n"/>
    </row>
    <row r="46" ht="20" customHeight="1">
      <c r="A46" s="8" t="n"/>
      <c r="B46" s="9" t="n"/>
      <c r="C46" s="8" t="n"/>
      <c r="D46" s="8" t="n"/>
      <c r="E46" s="9" t="n"/>
      <c r="F46" s="9" t="n"/>
      <c r="G46" s="9" t="n"/>
      <c r="H46" s="9" t="n"/>
      <c r="I46" s="9" t="n"/>
      <c r="J46" s="9" t="n"/>
      <c r="K46" s="9" t="n"/>
      <c r="L46" s="8" t="n"/>
      <c r="M46" s="9" t="n"/>
    </row>
    <row r="47" ht="20" customHeight="1">
      <c r="A47" s="8" t="n"/>
      <c r="B47" s="9" t="n"/>
      <c r="C47" s="8" t="n"/>
      <c r="D47" s="8" t="n"/>
      <c r="E47" s="9" t="n"/>
      <c r="F47" s="9" t="n"/>
      <c r="G47" s="9" t="n"/>
      <c r="H47" s="9" t="n"/>
      <c r="I47" s="9" t="n"/>
      <c r="J47" s="9" t="n"/>
      <c r="K47" s="9" t="n"/>
      <c r="L47" s="8" t="n"/>
      <c r="M47" s="9" t="n"/>
    </row>
    <row r="48" ht="20" customHeight="1">
      <c r="A48" s="8" t="n"/>
      <c r="B48" s="9" t="n"/>
      <c r="C48" s="8" t="n"/>
      <c r="D48" s="8" t="n"/>
      <c r="E48" s="9" t="n"/>
      <c r="F48" s="9" t="n"/>
      <c r="G48" s="9" t="n"/>
      <c r="H48" s="9" t="n"/>
      <c r="I48" s="9" t="n"/>
      <c r="J48" s="9" t="n"/>
      <c r="K48" s="9" t="n"/>
      <c r="L48" s="8" t="n"/>
      <c r="M48" s="9" t="n"/>
    </row>
    <row r="49" ht="20" customHeight="1">
      <c r="A49" s="8" t="n"/>
      <c r="B49" s="9" t="n"/>
      <c r="C49" s="8" t="n"/>
      <c r="D49" s="8" t="n"/>
      <c r="E49" s="9" t="n"/>
      <c r="F49" s="9" t="n"/>
      <c r="G49" s="9" t="n"/>
      <c r="H49" s="9" t="n"/>
      <c r="I49" s="9" t="n"/>
      <c r="J49" s="9" t="n"/>
      <c r="K49" s="9" t="n"/>
      <c r="L49" s="8" t="n"/>
      <c r="M49" s="9" t="n"/>
    </row>
    <row r="50" ht="20" customHeight="1">
      <c r="A50" s="8" t="n"/>
      <c r="B50" s="9" t="n"/>
      <c r="C50" s="8" t="n"/>
      <c r="D50" s="8" t="n"/>
      <c r="E50" s="9" t="n"/>
      <c r="F50" s="9" t="n"/>
      <c r="G50" s="9" t="n"/>
      <c r="H50" s="9" t="n"/>
      <c r="I50" s="9" t="n"/>
      <c r="J50" s="9" t="n"/>
      <c r="K50" s="9" t="n"/>
      <c r="L50" s="8" t="n"/>
      <c r="M50" s="9" t="n"/>
    </row>
    <row r="51" ht="20" customHeight="1">
      <c r="A51" s="8" t="n"/>
      <c r="B51" s="9" t="n"/>
      <c r="C51" s="8" t="n"/>
      <c r="D51" s="8" t="n"/>
      <c r="E51" s="9" t="n"/>
      <c r="F51" s="9" t="n"/>
      <c r="G51" s="9" t="n"/>
      <c r="H51" s="9" t="n"/>
      <c r="I51" s="9" t="n"/>
      <c r="J51" s="9" t="n"/>
      <c r="K51" s="9" t="n"/>
      <c r="L51" s="8" t="n"/>
      <c r="M51" s="9" t="n"/>
    </row>
    <row r="52" ht="20" customHeight="1">
      <c r="A52" s="8" t="n"/>
      <c r="B52" s="9" t="n"/>
      <c r="C52" s="8" t="n"/>
      <c r="D52" s="8" t="n"/>
      <c r="E52" s="9" t="n"/>
      <c r="F52" s="9" t="n"/>
      <c r="G52" s="9" t="n"/>
      <c r="H52" s="9" t="n"/>
      <c r="I52" s="9" t="n"/>
      <c r="J52" s="9" t="n"/>
      <c r="K52" s="9" t="n"/>
      <c r="L52" s="8" t="n"/>
      <c r="M52" s="9" t="n"/>
    </row>
    <row r="53" ht="20" customHeight="1">
      <c r="A53" s="8" t="n"/>
      <c r="B53" s="9" t="n"/>
      <c r="C53" s="8" t="n"/>
      <c r="D53" s="8" t="n"/>
      <c r="E53" s="9" t="n"/>
      <c r="F53" s="9" t="n"/>
      <c r="G53" s="9" t="n"/>
      <c r="H53" s="9" t="n"/>
      <c r="I53" s="9" t="n"/>
      <c r="J53" s="9" t="n"/>
      <c r="K53" s="9" t="n"/>
      <c r="L53" s="8" t="n"/>
      <c r="M53" s="9" t="n"/>
    </row>
    <row r="54" ht="20" customHeight="1">
      <c r="A54" s="8" t="n"/>
      <c r="B54" s="9" t="n"/>
      <c r="C54" s="8" t="n"/>
      <c r="D54" s="8" t="n"/>
      <c r="E54" s="9" t="n"/>
      <c r="F54" s="9" t="n"/>
      <c r="G54" s="9" t="n"/>
      <c r="H54" s="9" t="n"/>
      <c r="I54" s="9" t="n"/>
      <c r="J54" s="9" t="n"/>
      <c r="K54" s="9" t="n"/>
      <c r="L54" s="8" t="n"/>
      <c r="M54" s="9" t="n"/>
    </row>
    <row r="55" ht="20" customHeight="1">
      <c r="A55" s="8" t="n"/>
      <c r="B55" s="9" t="n"/>
      <c r="C55" s="8" t="n"/>
      <c r="D55" s="8" t="n"/>
      <c r="E55" s="9" t="n"/>
      <c r="F55" s="9" t="n"/>
      <c r="G55" s="9" t="n"/>
      <c r="H55" s="9" t="n"/>
      <c r="I55" s="9" t="n"/>
      <c r="J55" s="9" t="n"/>
      <c r="K55" s="9" t="n"/>
      <c r="L55" s="8" t="n"/>
      <c r="M55" s="9" t="n"/>
    </row>
    <row r="56" ht="20" customHeight="1">
      <c r="A56" s="8" t="n"/>
      <c r="B56" s="9" t="n"/>
      <c r="C56" s="8" t="n"/>
      <c r="D56" s="8" t="n"/>
      <c r="E56" s="9" t="n"/>
      <c r="F56" s="9" t="n"/>
      <c r="G56" s="9" t="n"/>
      <c r="H56" s="9" t="n"/>
      <c r="I56" s="9" t="n"/>
      <c r="J56" s="9" t="n"/>
      <c r="K56" s="9" t="n"/>
      <c r="L56" s="8" t="n"/>
      <c r="M56" s="9" t="n"/>
    </row>
    <row r="57" ht="20" customHeight="1">
      <c r="A57" s="8" t="n"/>
      <c r="B57" s="9" t="n"/>
      <c r="C57" s="8" t="n"/>
      <c r="D57" s="8" t="n"/>
      <c r="E57" s="9" t="n"/>
      <c r="F57" s="9" t="n"/>
      <c r="G57" s="9" t="n"/>
      <c r="H57" s="9" t="n"/>
      <c r="I57" s="9" t="n"/>
      <c r="J57" s="9" t="n"/>
      <c r="K57" s="9" t="n"/>
      <c r="L57" s="8" t="n"/>
      <c r="M57" s="9" t="n"/>
    </row>
    <row r="58" ht="20" customHeight="1">
      <c r="A58" s="8" t="n"/>
      <c r="B58" s="9" t="n"/>
      <c r="C58" s="8" t="n"/>
      <c r="D58" s="8" t="n"/>
      <c r="E58" s="9" t="n"/>
      <c r="F58" s="9" t="n"/>
      <c r="G58" s="9" t="n"/>
      <c r="H58" s="9" t="n"/>
      <c r="I58" s="9" t="n"/>
      <c r="J58" s="9" t="n"/>
      <c r="K58" s="9" t="n"/>
      <c r="L58" s="8" t="n"/>
      <c r="M58" s="9" t="n"/>
    </row>
    <row r="59" ht="20" customHeight="1">
      <c r="A59" s="8" t="n"/>
      <c r="B59" s="9" t="n"/>
      <c r="C59" s="8" t="n"/>
      <c r="D59" s="8" t="n"/>
      <c r="E59" s="9" t="n"/>
      <c r="F59" s="9" t="n"/>
      <c r="G59" s="9" t="n"/>
      <c r="H59" s="9" t="n"/>
      <c r="I59" s="9" t="n"/>
      <c r="J59" s="9" t="n"/>
      <c r="K59" s="9" t="n"/>
      <c r="L59" s="8" t="n"/>
      <c r="M59" s="9" t="n"/>
    </row>
    <row r="60" ht="20" customHeight="1">
      <c r="A60" s="8" t="n"/>
      <c r="B60" s="9" t="n"/>
      <c r="C60" s="8" t="n"/>
      <c r="D60" s="8" t="n"/>
      <c r="E60" s="9" t="n"/>
      <c r="F60" s="9" t="n"/>
      <c r="G60" s="9" t="n"/>
      <c r="H60" s="9" t="n"/>
      <c r="I60" s="9" t="n"/>
      <c r="J60" s="9" t="n"/>
      <c r="K60" s="9" t="n"/>
      <c r="L60" s="8" t="n"/>
      <c r="M60" s="9" t="n"/>
    </row>
    <row r="61" ht="20" customHeight="1">
      <c r="A61" s="8" t="n"/>
      <c r="B61" s="9" t="n"/>
      <c r="C61" s="8" t="n"/>
      <c r="D61" s="8" t="n"/>
      <c r="E61" s="9" t="n"/>
      <c r="F61" s="9" t="n"/>
      <c r="G61" s="9" t="n"/>
      <c r="H61" s="9" t="n"/>
      <c r="I61" s="9" t="n"/>
      <c r="J61" s="9" t="n"/>
      <c r="K61" s="9" t="n"/>
      <c r="L61" s="8" t="n"/>
      <c r="M61" s="9" t="n"/>
    </row>
    <row r="62" ht="20" customHeight="1">
      <c r="A62" s="8" t="n"/>
      <c r="B62" s="9" t="n"/>
      <c r="C62" s="8" t="n"/>
      <c r="D62" s="8" t="n"/>
      <c r="E62" s="9" t="n"/>
      <c r="F62" s="9" t="n"/>
      <c r="G62" s="9" t="n"/>
      <c r="H62" s="9" t="n"/>
      <c r="I62" s="9" t="n"/>
      <c r="J62" s="9" t="n"/>
      <c r="K62" s="9" t="n"/>
      <c r="L62" s="8" t="n"/>
      <c r="M62" s="9" t="n"/>
    </row>
    <row r="63" ht="20" customHeight="1">
      <c r="A63" s="8" t="n"/>
      <c r="B63" s="9" t="n"/>
      <c r="C63" s="8" t="n"/>
      <c r="D63" s="8" t="n"/>
      <c r="E63" s="9" t="n"/>
      <c r="F63" s="9" t="n"/>
      <c r="G63" s="9" t="n"/>
      <c r="H63" s="9" t="n"/>
      <c r="I63" s="9" t="n"/>
      <c r="J63" s="9" t="n"/>
      <c r="K63" s="9" t="n"/>
      <c r="L63" s="8" t="n"/>
      <c r="M63" s="9" t="n"/>
    </row>
    <row r="64" ht="20" customHeight="1">
      <c r="A64" s="8" t="n"/>
      <c r="B64" s="9" t="n"/>
      <c r="C64" s="8" t="n"/>
      <c r="D64" s="8" t="n"/>
      <c r="E64" s="9" t="n"/>
      <c r="F64" s="9" t="n"/>
      <c r="G64" s="9" t="n"/>
      <c r="H64" s="9" t="n"/>
      <c r="I64" s="9" t="n"/>
      <c r="J64" s="9" t="n"/>
      <c r="K64" s="9" t="n"/>
      <c r="L64" s="8" t="n"/>
      <c r="M64" s="9" t="n"/>
    </row>
    <row r="65" ht="20" customHeight="1">
      <c r="A65" s="8" t="n"/>
      <c r="B65" s="9" t="n"/>
      <c r="C65" s="8" t="n"/>
      <c r="D65" s="8" t="n"/>
      <c r="E65" s="9" t="n"/>
      <c r="F65" s="9" t="n"/>
      <c r="G65" s="9" t="n"/>
      <c r="H65" s="9" t="n"/>
      <c r="I65" s="9" t="n"/>
      <c r="J65" s="9" t="n"/>
      <c r="K65" s="9" t="n"/>
      <c r="L65" s="8" t="n"/>
      <c r="M65" s="9" t="n"/>
    </row>
  </sheetData>
  <autoFilter ref="A5:M65"/>
  <dataValidations count="2">
    <dataValidation sqref="C6:C65" showDropDown="0" showInputMessage="0" showErrorMessage="0" allowBlank="1" type="list">
      <formula1>"INT,EXT"</formula1>
    </dataValidation>
    <dataValidation sqref="D6:D65" showDropDown="0" showInputMessage="0" showErrorMessage="0" allowBlank="1" type="list">
      <formula1>"JOUR,NUIT"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61616"/>
    <outlinePr summaryBelow="1" summaryRight="1"/>
    <pageSetUpPr fitToPage="1"/>
  </sheetPr>
  <dimension ref="A1:L6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8" customWidth="1" min="3" max="3"/>
    <col width="24" customWidth="1" min="4" max="4"/>
    <col width="8" customWidth="1" min="5" max="5"/>
    <col width="9" customWidth="1" min="6" max="6"/>
    <col width="26" customWidth="1" min="7" max="7"/>
    <col width="10" customWidth="1" min="8" max="8"/>
    <col width="11" customWidth="1" min="9" max="9"/>
    <col width="10" customWidth="1" min="10" max="10"/>
    <col width="13" customWidth="1" min="11" max="11"/>
    <col width="28" customWidth="1" min="12" max="12"/>
  </cols>
  <sheetData>
    <row r="1" ht="30" customHeight="1">
      <c r="A1" s="1" t="inlineStr">
        <is>
          <t>Ordre de tournage</t>
        </is>
      </c>
    </row>
    <row r="2">
      <c r="A2" s="2" t="inlineStr">
        <is>
          <t>Saisis le jour et le n° de séquence : décor, I/E, J/N et personnages se remplissent seuls depuis le Dépouillement. Les horaires s'enchaînent automatiquement (heure de départ + durée + transition). Lignes 6-7 = exemples.</t>
        </is>
      </c>
    </row>
    <row r="3">
      <c r="D3" s="5" t="inlineStr">
        <is>
          <t>Heure de départ :</t>
        </is>
      </c>
      <c r="E3" s="10" t="n">
        <v>0.375</v>
      </c>
      <c r="G3" s="5" t="inlineStr">
        <is>
          <t>Transition entre séquences (min) :</t>
        </is>
      </c>
      <c r="H3" s="11" t="n">
        <v>15</v>
      </c>
    </row>
    <row r="5" ht="32" customHeight="1">
      <c r="A5" s="7" t="inlineStr">
        <is>
          <t>N° ordre</t>
        </is>
      </c>
      <c r="B5" s="7" t="inlineStr">
        <is>
          <t>Jour</t>
        </is>
      </c>
      <c r="C5" s="7" t="inlineStr">
        <is>
          <t>Séq.</t>
        </is>
      </c>
      <c r="D5" s="7" t="inlineStr">
        <is>
          <t>Décor</t>
        </is>
      </c>
      <c r="E5" s="7" t="inlineStr">
        <is>
          <t>I/E</t>
        </is>
      </c>
      <c r="F5" s="7" t="inlineStr">
        <is>
          <t>J/N</t>
        </is>
      </c>
      <c r="G5" s="7" t="inlineStr">
        <is>
          <t>Personnages</t>
        </is>
      </c>
      <c r="H5" s="7" t="inlineStr">
        <is>
          <t>Début</t>
        </is>
      </c>
      <c r="I5" s="7" t="inlineStr">
        <is>
          <t>Durée (min)</t>
        </is>
      </c>
      <c r="J5" s="7" t="inlineStr">
        <is>
          <t>Fin</t>
        </is>
      </c>
      <c r="K5" s="7" t="inlineStr">
        <is>
          <t>Statut</t>
        </is>
      </c>
      <c r="L5" s="7" t="inlineStr">
        <is>
          <t>Notes</t>
        </is>
      </c>
    </row>
    <row r="6" ht="20" customHeight="1">
      <c r="A6" s="12">
        <f>IF($C6="","",COUNT($C$6:$C6))</f>
        <v/>
      </c>
      <c r="B6" s="8" t="n">
        <v>1</v>
      </c>
      <c r="C6" s="8" t="n">
        <v>1</v>
      </c>
      <c r="D6" s="13">
        <f>IF($C6="","",IFERROR(INDEX('Dépouillement'!$B$6:$B$65,MATCH($C6,'Dépouillement'!$A$6:$A$65,0)),"Séq. introuvable"))</f>
        <v/>
      </c>
      <c r="E6" s="12">
        <f>IF($C6="","",IFERROR(INDEX('Dépouillement'!$C$6:$C$65,MATCH($C6,'Dépouillement'!$A$6:$A$65,0)),"Séq. introuvable"))</f>
        <v/>
      </c>
      <c r="F6" s="12">
        <f>IF($C6="","",IFERROR(INDEX('Dépouillement'!$D$6:$D$65,MATCH($C6,'Dépouillement'!$A$6:$A$65,0)),"Séq. introuvable"))</f>
        <v/>
      </c>
      <c r="G6" s="13">
        <f>IF($C6="","",IFERROR(INDEX('Dépouillement'!$F$6:$F$65,MATCH($C6,'Dépouillement'!$A$6:$A$65,0)),"Séq. introuvable"))</f>
        <v/>
      </c>
      <c r="H6" s="14">
        <f>IF($C6="","",$E$3)</f>
        <v/>
      </c>
      <c r="I6" s="8" t="n">
        <v>90</v>
      </c>
      <c r="J6" s="14">
        <f>IF(OR(H6="",I6=""),"",H6+I6/1440)</f>
        <v/>
      </c>
      <c r="K6" s="8" t="inlineStr">
        <is>
          <t>À tourner</t>
        </is>
      </c>
      <c r="L6" s="9" t="inlineStr">
        <is>
          <t>Exemple – à remplacer</t>
        </is>
      </c>
    </row>
    <row r="7" ht="20" customHeight="1">
      <c r="A7" s="12">
        <f>IF($C7="","",COUNT($C$6:$C7))</f>
        <v/>
      </c>
      <c r="B7" s="8" t="n">
        <v>1</v>
      </c>
      <c r="C7" s="8" t="n">
        <v>2</v>
      </c>
      <c r="D7" s="13">
        <f>IF($C7="","",IFERROR(INDEX('Dépouillement'!$B$6:$B$65,MATCH($C7,'Dépouillement'!$A$6:$A$65,0)),"Séq. introuvable"))</f>
        <v/>
      </c>
      <c r="E7" s="12">
        <f>IF($C7="","",IFERROR(INDEX('Dépouillement'!$C$6:$C$65,MATCH($C7,'Dépouillement'!$A$6:$A$65,0)),"Séq. introuvable"))</f>
        <v/>
      </c>
      <c r="F7" s="12">
        <f>IF($C7="","",IFERROR(INDEX('Dépouillement'!$D$6:$D$65,MATCH($C7,'Dépouillement'!$A$6:$A$65,0)),"Séq. introuvable"))</f>
        <v/>
      </c>
      <c r="G7" s="13">
        <f>IF($C7="","",IFERROR(INDEX('Dépouillement'!$F$6:$F$65,MATCH($C7,'Dépouillement'!$A$6:$A$65,0)),"Séq. introuvable"))</f>
        <v/>
      </c>
      <c r="H7" s="14">
        <f>IF($C7="","",IF(AND(ISNUMBER(J6),B7=B6),J6+$H$3/1440,$E$3))</f>
        <v/>
      </c>
      <c r="I7" s="8" t="n">
        <v>120</v>
      </c>
      <c r="J7" s="14">
        <f>IF(OR(H7="",I7=""),"",H7+I7/1440)</f>
        <v/>
      </c>
      <c r="K7" s="8" t="inlineStr">
        <is>
          <t>À tourner</t>
        </is>
      </c>
      <c r="L7" s="9" t="inlineStr">
        <is>
          <t>Exemple – à remplacer</t>
        </is>
      </c>
    </row>
    <row r="8" ht="20" customHeight="1">
      <c r="A8" s="12">
        <f>IF($C8="","",COUNT($C$6:$C8))</f>
        <v/>
      </c>
      <c r="B8" s="8" t="n"/>
      <c r="C8" s="8" t="n"/>
      <c r="D8" s="13">
        <f>IF($C8="","",IFERROR(INDEX('Dépouillement'!$B$6:$B$65,MATCH($C8,'Dépouillement'!$A$6:$A$65,0)),"Séq. introuvable"))</f>
        <v/>
      </c>
      <c r="E8" s="12">
        <f>IF($C8="","",IFERROR(INDEX('Dépouillement'!$C$6:$C$65,MATCH($C8,'Dépouillement'!$A$6:$A$65,0)),"Séq. introuvable"))</f>
        <v/>
      </c>
      <c r="F8" s="12">
        <f>IF($C8="","",IFERROR(INDEX('Dépouillement'!$D$6:$D$65,MATCH($C8,'Dépouillement'!$A$6:$A$65,0)),"Séq. introuvable"))</f>
        <v/>
      </c>
      <c r="G8" s="13">
        <f>IF($C8="","",IFERROR(INDEX('Dépouillement'!$F$6:$F$65,MATCH($C8,'Dépouillement'!$A$6:$A$65,0)),"Séq. introuvable"))</f>
        <v/>
      </c>
      <c r="H8" s="14">
        <f>IF($C8="","",IF(AND(ISNUMBER(J7),B8=B7),J7+$H$3/1440,$E$3))</f>
        <v/>
      </c>
      <c r="I8" s="8" t="n"/>
      <c r="J8" s="14">
        <f>IF(OR(H8="",I8=""),"",H8+I8/1440)</f>
        <v/>
      </c>
      <c r="K8" s="8" t="n"/>
      <c r="L8" s="9" t="n"/>
    </row>
    <row r="9" ht="20" customHeight="1">
      <c r="A9" s="12">
        <f>IF($C9="","",COUNT($C$6:$C9))</f>
        <v/>
      </c>
      <c r="B9" s="8" t="n"/>
      <c r="C9" s="8" t="n"/>
      <c r="D9" s="13">
        <f>IF($C9="","",IFERROR(INDEX('Dépouillement'!$B$6:$B$65,MATCH($C9,'Dépouillement'!$A$6:$A$65,0)),"Séq. introuvable"))</f>
        <v/>
      </c>
      <c r="E9" s="12">
        <f>IF($C9="","",IFERROR(INDEX('Dépouillement'!$C$6:$C$65,MATCH($C9,'Dépouillement'!$A$6:$A$65,0)),"Séq. introuvable"))</f>
        <v/>
      </c>
      <c r="F9" s="12">
        <f>IF($C9="","",IFERROR(INDEX('Dépouillement'!$D$6:$D$65,MATCH($C9,'Dépouillement'!$A$6:$A$65,0)),"Séq. introuvable"))</f>
        <v/>
      </c>
      <c r="G9" s="13">
        <f>IF($C9="","",IFERROR(INDEX('Dépouillement'!$F$6:$F$65,MATCH($C9,'Dépouillement'!$A$6:$A$65,0)),"Séq. introuvable"))</f>
        <v/>
      </c>
      <c r="H9" s="14">
        <f>IF($C9="","",IF(AND(ISNUMBER(J8),B9=B8),J8+$H$3/1440,$E$3))</f>
        <v/>
      </c>
      <c r="I9" s="8" t="n"/>
      <c r="J9" s="14">
        <f>IF(OR(H9="",I9=""),"",H9+I9/1440)</f>
        <v/>
      </c>
      <c r="K9" s="8" t="n"/>
      <c r="L9" s="9" t="n"/>
    </row>
    <row r="10" ht="20" customHeight="1">
      <c r="A10" s="12">
        <f>IF($C10="","",COUNT($C$6:$C10))</f>
        <v/>
      </c>
      <c r="B10" s="8" t="n"/>
      <c r="C10" s="8" t="n"/>
      <c r="D10" s="13">
        <f>IF($C10="","",IFERROR(INDEX('Dépouillement'!$B$6:$B$65,MATCH($C10,'Dépouillement'!$A$6:$A$65,0)),"Séq. introuvable"))</f>
        <v/>
      </c>
      <c r="E10" s="12">
        <f>IF($C10="","",IFERROR(INDEX('Dépouillement'!$C$6:$C$65,MATCH($C10,'Dépouillement'!$A$6:$A$65,0)),"Séq. introuvable"))</f>
        <v/>
      </c>
      <c r="F10" s="12">
        <f>IF($C10="","",IFERROR(INDEX('Dépouillement'!$D$6:$D$65,MATCH($C10,'Dépouillement'!$A$6:$A$65,0)),"Séq. introuvable"))</f>
        <v/>
      </c>
      <c r="G10" s="13">
        <f>IF($C10="","",IFERROR(INDEX('Dépouillement'!$F$6:$F$65,MATCH($C10,'Dépouillement'!$A$6:$A$65,0)),"Séq. introuvable"))</f>
        <v/>
      </c>
      <c r="H10" s="14">
        <f>IF($C10="","",IF(AND(ISNUMBER(J9),B10=B9),J9+$H$3/1440,$E$3))</f>
        <v/>
      </c>
      <c r="I10" s="8" t="n"/>
      <c r="J10" s="14">
        <f>IF(OR(H10="",I10=""),"",H10+I10/1440)</f>
        <v/>
      </c>
      <c r="K10" s="8" t="n"/>
      <c r="L10" s="9" t="n"/>
    </row>
    <row r="11" ht="20" customHeight="1">
      <c r="A11" s="12">
        <f>IF($C11="","",COUNT($C$6:$C11))</f>
        <v/>
      </c>
      <c r="B11" s="8" t="n"/>
      <c r="C11" s="8" t="n"/>
      <c r="D11" s="13">
        <f>IF($C11="","",IFERROR(INDEX('Dépouillement'!$B$6:$B$65,MATCH($C11,'Dépouillement'!$A$6:$A$65,0)),"Séq. introuvable"))</f>
        <v/>
      </c>
      <c r="E11" s="12">
        <f>IF($C11="","",IFERROR(INDEX('Dépouillement'!$C$6:$C$65,MATCH($C11,'Dépouillement'!$A$6:$A$65,0)),"Séq. introuvable"))</f>
        <v/>
      </c>
      <c r="F11" s="12">
        <f>IF($C11="","",IFERROR(INDEX('Dépouillement'!$D$6:$D$65,MATCH($C11,'Dépouillement'!$A$6:$A$65,0)),"Séq. introuvable"))</f>
        <v/>
      </c>
      <c r="G11" s="13">
        <f>IF($C11="","",IFERROR(INDEX('Dépouillement'!$F$6:$F$65,MATCH($C11,'Dépouillement'!$A$6:$A$65,0)),"Séq. introuvable"))</f>
        <v/>
      </c>
      <c r="H11" s="14">
        <f>IF($C11="","",IF(AND(ISNUMBER(J10),B11=B10),J10+$H$3/1440,$E$3))</f>
        <v/>
      </c>
      <c r="I11" s="8" t="n"/>
      <c r="J11" s="14">
        <f>IF(OR(H11="",I11=""),"",H11+I11/1440)</f>
        <v/>
      </c>
      <c r="K11" s="8" t="n"/>
      <c r="L11" s="9" t="n"/>
    </row>
    <row r="12" ht="20" customHeight="1">
      <c r="A12" s="12">
        <f>IF($C12="","",COUNT($C$6:$C12))</f>
        <v/>
      </c>
      <c r="B12" s="8" t="n"/>
      <c r="C12" s="8" t="n"/>
      <c r="D12" s="13">
        <f>IF($C12="","",IFERROR(INDEX('Dépouillement'!$B$6:$B$65,MATCH($C12,'Dépouillement'!$A$6:$A$65,0)),"Séq. introuvable"))</f>
        <v/>
      </c>
      <c r="E12" s="12">
        <f>IF($C12="","",IFERROR(INDEX('Dépouillement'!$C$6:$C$65,MATCH($C12,'Dépouillement'!$A$6:$A$65,0)),"Séq. introuvable"))</f>
        <v/>
      </c>
      <c r="F12" s="12">
        <f>IF($C12="","",IFERROR(INDEX('Dépouillement'!$D$6:$D$65,MATCH($C12,'Dépouillement'!$A$6:$A$65,0)),"Séq. introuvable"))</f>
        <v/>
      </c>
      <c r="G12" s="13">
        <f>IF($C12="","",IFERROR(INDEX('Dépouillement'!$F$6:$F$65,MATCH($C12,'Dépouillement'!$A$6:$A$65,0)),"Séq. introuvable"))</f>
        <v/>
      </c>
      <c r="H12" s="14">
        <f>IF($C12="","",IF(AND(ISNUMBER(J11),B12=B11),J11+$H$3/1440,$E$3))</f>
        <v/>
      </c>
      <c r="I12" s="8" t="n"/>
      <c r="J12" s="14">
        <f>IF(OR(H12="",I12=""),"",H12+I12/1440)</f>
        <v/>
      </c>
      <c r="K12" s="8" t="n"/>
      <c r="L12" s="9" t="n"/>
    </row>
    <row r="13" ht="20" customHeight="1">
      <c r="A13" s="12">
        <f>IF($C13="","",COUNT($C$6:$C13))</f>
        <v/>
      </c>
      <c r="B13" s="8" t="n"/>
      <c r="C13" s="8" t="n"/>
      <c r="D13" s="13">
        <f>IF($C13="","",IFERROR(INDEX('Dépouillement'!$B$6:$B$65,MATCH($C13,'Dépouillement'!$A$6:$A$65,0)),"Séq. introuvable"))</f>
        <v/>
      </c>
      <c r="E13" s="12">
        <f>IF($C13="","",IFERROR(INDEX('Dépouillement'!$C$6:$C$65,MATCH($C13,'Dépouillement'!$A$6:$A$65,0)),"Séq. introuvable"))</f>
        <v/>
      </c>
      <c r="F13" s="12">
        <f>IF($C13="","",IFERROR(INDEX('Dépouillement'!$D$6:$D$65,MATCH($C13,'Dépouillement'!$A$6:$A$65,0)),"Séq. introuvable"))</f>
        <v/>
      </c>
      <c r="G13" s="13">
        <f>IF($C13="","",IFERROR(INDEX('Dépouillement'!$F$6:$F$65,MATCH($C13,'Dépouillement'!$A$6:$A$65,0)),"Séq. introuvable"))</f>
        <v/>
      </c>
      <c r="H13" s="14">
        <f>IF($C13="","",IF(AND(ISNUMBER(J12),B13=B12),J12+$H$3/1440,$E$3))</f>
        <v/>
      </c>
      <c r="I13" s="8" t="n"/>
      <c r="J13" s="14">
        <f>IF(OR(H13="",I13=""),"",H13+I13/1440)</f>
        <v/>
      </c>
      <c r="K13" s="8" t="n"/>
      <c r="L13" s="9" t="n"/>
    </row>
    <row r="14" ht="20" customHeight="1">
      <c r="A14" s="12">
        <f>IF($C14="","",COUNT($C$6:$C14))</f>
        <v/>
      </c>
      <c r="B14" s="8" t="n"/>
      <c r="C14" s="8" t="n"/>
      <c r="D14" s="13">
        <f>IF($C14="","",IFERROR(INDEX('Dépouillement'!$B$6:$B$65,MATCH($C14,'Dépouillement'!$A$6:$A$65,0)),"Séq. introuvable"))</f>
        <v/>
      </c>
      <c r="E14" s="12">
        <f>IF($C14="","",IFERROR(INDEX('Dépouillement'!$C$6:$C$65,MATCH($C14,'Dépouillement'!$A$6:$A$65,0)),"Séq. introuvable"))</f>
        <v/>
      </c>
      <c r="F14" s="12">
        <f>IF($C14="","",IFERROR(INDEX('Dépouillement'!$D$6:$D$65,MATCH($C14,'Dépouillement'!$A$6:$A$65,0)),"Séq. introuvable"))</f>
        <v/>
      </c>
      <c r="G14" s="13">
        <f>IF($C14="","",IFERROR(INDEX('Dépouillement'!$F$6:$F$65,MATCH($C14,'Dépouillement'!$A$6:$A$65,0)),"Séq. introuvable"))</f>
        <v/>
      </c>
      <c r="H14" s="14">
        <f>IF($C14="","",IF(AND(ISNUMBER(J13),B14=B13),J13+$H$3/1440,$E$3))</f>
        <v/>
      </c>
      <c r="I14" s="8" t="n"/>
      <c r="J14" s="14">
        <f>IF(OR(H14="",I14=""),"",H14+I14/1440)</f>
        <v/>
      </c>
      <c r="K14" s="8" t="n"/>
      <c r="L14" s="9" t="n"/>
    </row>
    <row r="15" ht="20" customHeight="1">
      <c r="A15" s="12">
        <f>IF($C15="","",COUNT($C$6:$C15))</f>
        <v/>
      </c>
      <c r="B15" s="8" t="n"/>
      <c r="C15" s="8" t="n"/>
      <c r="D15" s="13">
        <f>IF($C15="","",IFERROR(INDEX('Dépouillement'!$B$6:$B$65,MATCH($C15,'Dépouillement'!$A$6:$A$65,0)),"Séq. introuvable"))</f>
        <v/>
      </c>
      <c r="E15" s="12">
        <f>IF($C15="","",IFERROR(INDEX('Dépouillement'!$C$6:$C$65,MATCH($C15,'Dépouillement'!$A$6:$A$65,0)),"Séq. introuvable"))</f>
        <v/>
      </c>
      <c r="F15" s="12">
        <f>IF($C15="","",IFERROR(INDEX('Dépouillement'!$D$6:$D$65,MATCH($C15,'Dépouillement'!$A$6:$A$65,0)),"Séq. introuvable"))</f>
        <v/>
      </c>
      <c r="G15" s="13">
        <f>IF($C15="","",IFERROR(INDEX('Dépouillement'!$F$6:$F$65,MATCH($C15,'Dépouillement'!$A$6:$A$65,0)),"Séq. introuvable"))</f>
        <v/>
      </c>
      <c r="H15" s="14">
        <f>IF($C15="","",IF(AND(ISNUMBER(J14),B15=B14),J14+$H$3/1440,$E$3))</f>
        <v/>
      </c>
      <c r="I15" s="8" t="n"/>
      <c r="J15" s="14">
        <f>IF(OR(H15="",I15=""),"",H15+I15/1440)</f>
        <v/>
      </c>
      <c r="K15" s="8" t="n"/>
      <c r="L15" s="9" t="n"/>
    </row>
    <row r="16" ht="20" customHeight="1">
      <c r="A16" s="12">
        <f>IF($C16="","",COUNT($C$6:$C16))</f>
        <v/>
      </c>
      <c r="B16" s="8" t="n"/>
      <c r="C16" s="8" t="n"/>
      <c r="D16" s="13">
        <f>IF($C16="","",IFERROR(INDEX('Dépouillement'!$B$6:$B$65,MATCH($C16,'Dépouillement'!$A$6:$A$65,0)),"Séq. introuvable"))</f>
        <v/>
      </c>
      <c r="E16" s="12">
        <f>IF($C16="","",IFERROR(INDEX('Dépouillement'!$C$6:$C$65,MATCH($C16,'Dépouillement'!$A$6:$A$65,0)),"Séq. introuvable"))</f>
        <v/>
      </c>
      <c r="F16" s="12">
        <f>IF($C16="","",IFERROR(INDEX('Dépouillement'!$D$6:$D$65,MATCH($C16,'Dépouillement'!$A$6:$A$65,0)),"Séq. introuvable"))</f>
        <v/>
      </c>
      <c r="G16" s="13">
        <f>IF($C16="","",IFERROR(INDEX('Dépouillement'!$F$6:$F$65,MATCH($C16,'Dépouillement'!$A$6:$A$65,0)),"Séq. introuvable"))</f>
        <v/>
      </c>
      <c r="H16" s="14">
        <f>IF($C16="","",IF(AND(ISNUMBER(J15),B16=B15),J15+$H$3/1440,$E$3))</f>
        <v/>
      </c>
      <c r="I16" s="8" t="n"/>
      <c r="J16" s="14">
        <f>IF(OR(H16="",I16=""),"",H16+I16/1440)</f>
        <v/>
      </c>
      <c r="K16" s="8" t="n"/>
      <c r="L16" s="9" t="n"/>
    </row>
    <row r="17" ht="20" customHeight="1">
      <c r="A17" s="12">
        <f>IF($C17="","",COUNT($C$6:$C17))</f>
        <v/>
      </c>
      <c r="B17" s="8" t="n"/>
      <c r="C17" s="8" t="n"/>
      <c r="D17" s="13">
        <f>IF($C17="","",IFERROR(INDEX('Dépouillement'!$B$6:$B$65,MATCH($C17,'Dépouillement'!$A$6:$A$65,0)),"Séq. introuvable"))</f>
        <v/>
      </c>
      <c r="E17" s="12">
        <f>IF($C17="","",IFERROR(INDEX('Dépouillement'!$C$6:$C$65,MATCH($C17,'Dépouillement'!$A$6:$A$65,0)),"Séq. introuvable"))</f>
        <v/>
      </c>
      <c r="F17" s="12">
        <f>IF($C17="","",IFERROR(INDEX('Dépouillement'!$D$6:$D$65,MATCH($C17,'Dépouillement'!$A$6:$A$65,0)),"Séq. introuvable"))</f>
        <v/>
      </c>
      <c r="G17" s="13">
        <f>IF($C17="","",IFERROR(INDEX('Dépouillement'!$F$6:$F$65,MATCH($C17,'Dépouillement'!$A$6:$A$65,0)),"Séq. introuvable"))</f>
        <v/>
      </c>
      <c r="H17" s="14">
        <f>IF($C17="","",IF(AND(ISNUMBER(J16),B17=B16),J16+$H$3/1440,$E$3))</f>
        <v/>
      </c>
      <c r="I17" s="8" t="n"/>
      <c r="J17" s="14">
        <f>IF(OR(H17="",I17=""),"",H17+I17/1440)</f>
        <v/>
      </c>
      <c r="K17" s="8" t="n"/>
      <c r="L17" s="9" t="n"/>
    </row>
    <row r="18" ht="20" customHeight="1">
      <c r="A18" s="12">
        <f>IF($C18="","",COUNT($C$6:$C18))</f>
        <v/>
      </c>
      <c r="B18" s="8" t="n"/>
      <c r="C18" s="8" t="n"/>
      <c r="D18" s="13">
        <f>IF($C18="","",IFERROR(INDEX('Dépouillement'!$B$6:$B$65,MATCH($C18,'Dépouillement'!$A$6:$A$65,0)),"Séq. introuvable"))</f>
        <v/>
      </c>
      <c r="E18" s="12">
        <f>IF($C18="","",IFERROR(INDEX('Dépouillement'!$C$6:$C$65,MATCH($C18,'Dépouillement'!$A$6:$A$65,0)),"Séq. introuvable"))</f>
        <v/>
      </c>
      <c r="F18" s="12">
        <f>IF($C18="","",IFERROR(INDEX('Dépouillement'!$D$6:$D$65,MATCH($C18,'Dépouillement'!$A$6:$A$65,0)),"Séq. introuvable"))</f>
        <v/>
      </c>
      <c r="G18" s="13">
        <f>IF($C18="","",IFERROR(INDEX('Dépouillement'!$F$6:$F$65,MATCH($C18,'Dépouillement'!$A$6:$A$65,0)),"Séq. introuvable"))</f>
        <v/>
      </c>
      <c r="H18" s="14">
        <f>IF($C18="","",IF(AND(ISNUMBER(J17),B18=B17),J17+$H$3/1440,$E$3))</f>
        <v/>
      </c>
      <c r="I18" s="8" t="n"/>
      <c r="J18" s="14">
        <f>IF(OR(H18="",I18=""),"",H18+I18/1440)</f>
        <v/>
      </c>
      <c r="K18" s="8" t="n"/>
      <c r="L18" s="9" t="n"/>
    </row>
    <row r="19" ht="20" customHeight="1">
      <c r="A19" s="12">
        <f>IF($C19="","",COUNT($C$6:$C19))</f>
        <v/>
      </c>
      <c r="B19" s="8" t="n"/>
      <c r="C19" s="8" t="n"/>
      <c r="D19" s="13">
        <f>IF($C19="","",IFERROR(INDEX('Dépouillement'!$B$6:$B$65,MATCH($C19,'Dépouillement'!$A$6:$A$65,0)),"Séq. introuvable"))</f>
        <v/>
      </c>
      <c r="E19" s="12">
        <f>IF($C19="","",IFERROR(INDEX('Dépouillement'!$C$6:$C$65,MATCH($C19,'Dépouillement'!$A$6:$A$65,0)),"Séq. introuvable"))</f>
        <v/>
      </c>
      <c r="F19" s="12">
        <f>IF($C19="","",IFERROR(INDEX('Dépouillement'!$D$6:$D$65,MATCH($C19,'Dépouillement'!$A$6:$A$65,0)),"Séq. introuvable"))</f>
        <v/>
      </c>
      <c r="G19" s="13">
        <f>IF($C19="","",IFERROR(INDEX('Dépouillement'!$F$6:$F$65,MATCH($C19,'Dépouillement'!$A$6:$A$65,0)),"Séq. introuvable"))</f>
        <v/>
      </c>
      <c r="H19" s="14">
        <f>IF($C19="","",IF(AND(ISNUMBER(J18),B19=B18),J18+$H$3/1440,$E$3))</f>
        <v/>
      </c>
      <c r="I19" s="8" t="n"/>
      <c r="J19" s="14">
        <f>IF(OR(H19="",I19=""),"",H19+I19/1440)</f>
        <v/>
      </c>
      <c r="K19" s="8" t="n"/>
      <c r="L19" s="9" t="n"/>
    </row>
    <row r="20" ht="20" customHeight="1">
      <c r="A20" s="12">
        <f>IF($C20="","",COUNT($C$6:$C20))</f>
        <v/>
      </c>
      <c r="B20" s="8" t="n"/>
      <c r="C20" s="8" t="n"/>
      <c r="D20" s="13">
        <f>IF($C20="","",IFERROR(INDEX('Dépouillement'!$B$6:$B$65,MATCH($C20,'Dépouillement'!$A$6:$A$65,0)),"Séq. introuvable"))</f>
        <v/>
      </c>
      <c r="E20" s="12">
        <f>IF($C20="","",IFERROR(INDEX('Dépouillement'!$C$6:$C$65,MATCH($C20,'Dépouillement'!$A$6:$A$65,0)),"Séq. introuvable"))</f>
        <v/>
      </c>
      <c r="F20" s="12">
        <f>IF($C20="","",IFERROR(INDEX('Dépouillement'!$D$6:$D$65,MATCH($C20,'Dépouillement'!$A$6:$A$65,0)),"Séq. introuvable"))</f>
        <v/>
      </c>
      <c r="G20" s="13">
        <f>IF($C20="","",IFERROR(INDEX('Dépouillement'!$F$6:$F$65,MATCH($C20,'Dépouillement'!$A$6:$A$65,0)),"Séq. introuvable"))</f>
        <v/>
      </c>
      <c r="H20" s="14">
        <f>IF($C20="","",IF(AND(ISNUMBER(J19),B20=B19),J19+$H$3/1440,$E$3))</f>
        <v/>
      </c>
      <c r="I20" s="8" t="n"/>
      <c r="J20" s="14">
        <f>IF(OR(H20="",I20=""),"",H20+I20/1440)</f>
        <v/>
      </c>
      <c r="K20" s="8" t="n"/>
      <c r="L20" s="9" t="n"/>
    </row>
    <row r="21" ht="20" customHeight="1">
      <c r="A21" s="12">
        <f>IF($C21="","",COUNT($C$6:$C21))</f>
        <v/>
      </c>
      <c r="B21" s="8" t="n"/>
      <c r="C21" s="8" t="n"/>
      <c r="D21" s="13">
        <f>IF($C21="","",IFERROR(INDEX('Dépouillement'!$B$6:$B$65,MATCH($C21,'Dépouillement'!$A$6:$A$65,0)),"Séq. introuvable"))</f>
        <v/>
      </c>
      <c r="E21" s="12">
        <f>IF($C21="","",IFERROR(INDEX('Dépouillement'!$C$6:$C$65,MATCH($C21,'Dépouillement'!$A$6:$A$65,0)),"Séq. introuvable"))</f>
        <v/>
      </c>
      <c r="F21" s="12">
        <f>IF($C21="","",IFERROR(INDEX('Dépouillement'!$D$6:$D$65,MATCH($C21,'Dépouillement'!$A$6:$A$65,0)),"Séq. introuvable"))</f>
        <v/>
      </c>
      <c r="G21" s="13">
        <f>IF($C21="","",IFERROR(INDEX('Dépouillement'!$F$6:$F$65,MATCH($C21,'Dépouillement'!$A$6:$A$65,0)),"Séq. introuvable"))</f>
        <v/>
      </c>
      <c r="H21" s="14">
        <f>IF($C21="","",IF(AND(ISNUMBER(J20),B21=B20),J20+$H$3/1440,$E$3))</f>
        <v/>
      </c>
      <c r="I21" s="8" t="n"/>
      <c r="J21" s="14">
        <f>IF(OR(H21="",I21=""),"",H21+I21/1440)</f>
        <v/>
      </c>
      <c r="K21" s="8" t="n"/>
      <c r="L21" s="9" t="n"/>
    </row>
    <row r="22" ht="20" customHeight="1">
      <c r="A22" s="12">
        <f>IF($C22="","",COUNT($C$6:$C22))</f>
        <v/>
      </c>
      <c r="B22" s="8" t="n"/>
      <c r="C22" s="8" t="n"/>
      <c r="D22" s="13">
        <f>IF($C22="","",IFERROR(INDEX('Dépouillement'!$B$6:$B$65,MATCH($C22,'Dépouillement'!$A$6:$A$65,0)),"Séq. introuvable"))</f>
        <v/>
      </c>
      <c r="E22" s="12">
        <f>IF($C22="","",IFERROR(INDEX('Dépouillement'!$C$6:$C$65,MATCH($C22,'Dépouillement'!$A$6:$A$65,0)),"Séq. introuvable"))</f>
        <v/>
      </c>
      <c r="F22" s="12">
        <f>IF($C22="","",IFERROR(INDEX('Dépouillement'!$D$6:$D$65,MATCH($C22,'Dépouillement'!$A$6:$A$65,0)),"Séq. introuvable"))</f>
        <v/>
      </c>
      <c r="G22" s="13">
        <f>IF($C22="","",IFERROR(INDEX('Dépouillement'!$F$6:$F$65,MATCH($C22,'Dépouillement'!$A$6:$A$65,0)),"Séq. introuvable"))</f>
        <v/>
      </c>
      <c r="H22" s="14">
        <f>IF($C22="","",IF(AND(ISNUMBER(J21),B22=B21),J21+$H$3/1440,$E$3))</f>
        <v/>
      </c>
      <c r="I22" s="8" t="n"/>
      <c r="J22" s="14">
        <f>IF(OR(H22="",I22=""),"",H22+I22/1440)</f>
        <v/>
      </c>
      <c r="K22" s="8" t="n"/>
      <c r="L22" s="9" t="n"/>
    </row>
    <row r="23" ht="20" customHeight="1">
      <c r="A23" s="12">
        <f>IF($C23="","",COUNT($C$6:$C23))</f>
        <v/>
      </c>
      <c r="B23" s="8" t="n"/>
      <c r="C23" s="8" t="n"/>
      <c r="D23" s="13">
        <f>IF($C23="","",IFERROR(INDEX('Dépouillement'!$B$6:$B$65,MATCH($C23,'Dépouillement'!$A$6:$A$65,0)),"Séq. introuvable"))</f>
        <v/>
      </c>
      <c r="E23" s="12">
        <f>IF($C23="","",IFERROR(INDEX('Dépouillement'!$C$6:$C$65,MATCH($C23,'Dépouillement'!$A$6:$A$65,0)),"Séq. introuvable"))</f>
        <v/>
      </c>
      <c r="F23" s="12">
        <f>IF($C23="","",IFERROR(INDEX('Dépouillement'!$D$6:$D$65,MATCH($C23,'Dépouillement'!$A$6:$A$65,0)),"Séq. introuvable"))</f>
        <v/>
      </c>
      <c r="G23" s="13">
        <f>IF($C23="","",IFERROR(INDEX('Dépouillement'!$F$6:$F$65,MATCH($C23,'Dépouillement'!$A$6:$A$65,0)),"Séq. introuvable"))</f>
        <v/>
      </c>
      <c r="H23" s="14">
        <f>IF($C23="","",IF(AND(ISNUMBER(J22),B23=B22),J22+$H$3/1440,$E$3))</f>
        <v/>
      </c>
      <c r="I23" s="8" t="n"/>
      <c r="J23" s="14">
        <f>IF(OR(H23="",I23=""),"",H23+I23/1440)</f>
        <v/>
      </c>
      <c r="K23" s="8" t="n"/>
      <c r="L23" s="9" t="n"/>
    </row>
    <row r="24" ht="20" customHeight="1">
      <c r="A24" s="12">
        <f>IF($C24="","",COUNT($C$6:$C24))</f>
        <v/>
      </c>
      <c r="B24" s="8" t="n"/>
      <c r="C24" s="8" t="n"/>
      <c r="D24" s="13">
        <f>IF($C24="","",IFERROR(INDEX('Dépouillement'!$B$6:$B$65,MATCH($C24,'Dépouillement'!$A$6:$A$65,0)),"Séq. introuvable"))</f>
        <v/>
      </c>
      <c r="E24" s="12">
        <f>IF($C24="","",IFERROR(INDEX('Dépouillement'!$C$6:$C$65,MATCH($C24,'Dépouillement'!$A$6:$A$65,0)),"Séq. introuvable"))</f>
        <v/>
      </c>
      <c r="F24" s="12">
        <f>IF($C24="","",IFERROR(INDEX('Dépouillement'!$D$6:$D$65,MATCH($C24,'Dépouillement'!$A$6:$A$65,0)),"Séq. introuvable"))</f>
        <v/>
      </c>
      <c r="G24" s="13">
        <f>IF($C24="","",IFERROR(INDEX('Dépouillement'!$F$6:$F$65,MATCH($C24,'Dépouillement'!$A$6:$A$65,0)),"Séq. introuvable"))</f>
        <v/>
      </c>
      <c r="H24" s="14">
        <f>IF($C24="","",IF(AND(ISNUMBER(J23),B24=B23),J23+$H$3/1440,$E$3))</f>
        <v/>
      </c>
      <c r="I24" s="8" t="n"/>
      <c r="J24" s="14">
        <f>IF(OR(H24="",I24=""),"",H24+I24/1440)</f>
        <v/>
      </c>
      <c r="K24" s="8" t="n"/>
      <c r="L24" s="9" t="n"/>
    </row>
    <row r="25" ht="20" customHeight="1">
      <c r="A25" s="12">
        <f>IF($C25="","",COUNT($C$6:$C25))</f>
        <v/>
      </c>
      <c r="B25" s="8" t="n"/>
      <c r="C25" s="8" t="n"/>
      <c r="D25" s="13">
        <f>IF($C25="","",IFERROR(INDEX('Dépouillement'!$B$6:$B$65,MATCH($C25,'Dépouillement'!$A$6:$A$65,0)),"Séq. introuvable"))</f>
        <v/>
      </c>
      <c r="E25" s="12">
        <f>IF($C25="","",IFERROR(INDEX('Dépouillement'!$C$6:$C$65,MATCH($C25,'Dépouillement'!$A$6:$A$65,0)),"Séq. introuvable"))</f>
        <v/>
      </c>
      <c r="F25" s="12">
        <f>IF($C25="","",IFERROR(INDEX('Dépouillement'!$D$6:$D$65,MATCH($C25,'Dépouillement'!$A$6:$A$65,0)),"Séq. introuvable"))</f>
        <v/>
      </c>
      <c r="G25" s="13">
        <f>IF($C25="","",IFERROR(INDEX('Dépouillement'!$F$6:$F$65,MATCH($C25,'Dépouillement'!$A$6:$A$65,0)),"Séq. introuvable"))</f>
        <v/>
      </c>
      <c r="H25" s="14">
        <f>IF($C25="","",IF(AND(ISNUMBER(J24),B25=B24),J24+$H$3/1440,$E$3))</f>
        <v/>
      </c>
      <c r="I25" s="8" t="n"/>
      <c r="J25" s="14">
        <f>IF(OR(H25="",I25=""),"",H25+I25/1440)</f>
        <v/>
      </c>
      <c r="K25" s="8" t="n"/>
      <c r="L25" s="9" t="n"/>
    </row>
    <row r="26" ht="20" customHeight="1">
      <c r="A26" s="12">
        <f>IF($C26="","",COUNT($C$6:$C26))</f>
        <v/>
      </c>
      <c r="B26" s="8" t="n"/>
      <c r="C26" s="8" t="n"/>
      <c r="D26" s="13">
        <f>IF($C26="","",IFERROR(INDEX('Dépouillement'!$B$6:$B$65,MATCH($C26,'Dépouillement'!$A$6:$A$65,0)),"Séq. introuvable"))</f>
        <v/>
      </c>
      <c r="E26" s="12">
        <f>IF($C26="","",IFERROR(INDEX('Dépouillement'!$C$6:$C$65,MATCH($C26,'Dépouillement'!$A$6:$A$65,0)),"Séq. introuvable"))</f>
        <v/>
      </c>
      <c r="F26" s="12">
        <f>IF($C26="","",IFERROR(INDEX('Dépouillement'!$D$6:$D$65,MATCH($C26,'Dépouillement'!$A$6:$A$65,0)),"Séq. introuvable"))</f>
        <v/>
      </c>
      <c r="G26" s="13">
        <f>IF($C26="","",IFERROR(INDEX('Dépouillement'!$F$6:$F$65,MATCH($C26,'Dépouillement'!$A$6:$A$65,0)),"Séq. introuvable"))</f>
        <v/>
      </c>
      <c r="H26" s="14">
        <f>IF($C26="","",IF(AND(ISNUMBER(J25),B26=B25),J25+$H$3/1440,$E$3))</f>
        <v/>
      </c>
      <c r="I26" s="8" t="n"/>
      <c r="J26" s="14">
        <f>IF(OR(H26="",I26=""),"",H26+I26/1440)</f>
        <v/>
      </c>
      <c r="K26" s="8" t="n"/>
      <c r="L26" s="9" t="n"/>
    </row>
    <row r="27" ht="20" customHeight="1">
      <c r="A27" s="12">
        <f>IF($C27="","",COUNT($C$6:$C27))</f>
        <v/>
      </c>
      <c r="B27" s="8" t="n"/>
      <c r="C27" s="8" t="n"/>
      <c r="D27" s="13">
        <f>IF($C27="","",IFERROR(INDEX('Dépouillement'!$B$6:$B$65,MATCH($C27,'Dépouillement'!$A$6:$A$65,0)),"Séq. introuvable"))</f>
        <v/>
      </c>
      <c r="E27" s="12">
        <f>IF($C27="","",IFERROR(INDEX('Dépouillement'!$C$6:$C$65,MATCH($C27,'Dépouillement'!$A$6:$A$65,0)),"Séq. introuvable"))</f>
        <v/>
      </c>
      <c r="F27" s="12">
        <f>IF($C27="","",IFERROR(INDEX('Dépouillement'!$D$6:$D$65,MATCH($C27,'Dépouillement'!$A$6:$A$65,0)),"Séq. introuvable"))</f>
        <v/>
      </c>
      <c r="G27" s="13">
        <f>IF($C27="","",IFERROR(INDEX('Dépouillement'!$F$6:$F$65,MATCH($C27,'Dépouillement'!$A$6:$A$65,0)),"Séq. introuvable"))</f>
        <v/>
      </c>
      <c r="H27" s="14">
        <f>IF($C27="","",IF(AND(ISNUMBER(J26),B27=B26),J26+$H$3/1440,$E$3))</f>
        <v/>
      </c>
      <c r="I27" s="8" t="n"/>
      <c r="J27" s="14">
        <f>IF(OR(H27="",I27=""),"",H27+I27/1440)</f>
        <v/>
      </c>
      <c r="K27" s="8" t="n"/>
      <c r="L27" s="9" t="n"/>
    </row>
    <row r="28" ht="20" customHeight="1">
      <c r="A28" s="12">
        <f>IF($C28="","",COUNT($C$6:$C28))</f>
        <v/>
      </c>
      <c r="B28" s="8" t="n"/>
      <c r="C28" s="8" t="n"/>
      <c r="D28" s="13">
        <f>IF($C28="","",IFERROR(INDEX('Dépouillement'!$B$6:$B$65,MATCH($C28,'Dépouillement'!$A$6:$A$65,0)),"Séq. introuvable"))</f>
        <v/>
      </c>
      <c r="E28" s="12">
        <f>IF($C28="","",IFERROR(INDEX('Dépouillement'!$C$6:$C$65,MATCH($C28,'Dépouillement'!$A$6:$A$65,0)),"Séq. introuvable"))</f>
        <v/>
      </c>
      <c r="F28" s="12">
        <f>IF($C28="","",IFERROR(INDEX('Dépouillement'!$D$6:$D$65,MATCH($C28,'Dépouillement'!$A$6:$A$65,0)),"Séq. introuvable"))</f>
        <v/>
      </c>
      <c r="G28" s="13">
        <f>IF($C28="","",IFERROR(INDEX('Dépouillement'!$F$6:$F$65,MATCH($C28,'Dépouillement'!$A$6:$A$65,0)),"Séq. introuvable"))</f>
        <v/>
      </c>
      <c r="H28" s="14">
        <f>IF($C28="","",IF(AND(ISNUMBER(J27),B28=B27),J27+$H$3/1440,$E$3))</f>
        <v/>
      </c>
      <c r="I28" s="8" t="n"/>
      <c r="J28" s="14">
        <f>IF(OR(H28="",I28=""),"",H28+I28/1440)</f>
        <v/>
      </c>
      <c r="K28" s="8" t="n"/>
      <c r="L28" s="9" t="n"/>
    </row>
    <row r="29" ht="20" customHeight="1">
      <c r="A29" s="12">
        <f>IF($C29="","",COUNT($C$6:$C29))</f>
        <v/>
      </c>
      <c r="B29" s="8" t="n"/>
      <c r="C29" s="8" t="n"/>
      <c r="D29" s="13">
        <f>IF($C29="","",IFERROR(INDEX('Dépouillement'!$B$6:$B$65,MATCH($C29,'Dépouillement'!$A$6:$A$65,0)),"Séq. introuvable"))</f>
        <v/>
      </c>
      <c r="E29" s="12">
        <f>IF($C29="","",IFERROR(INDEX('Dépouillement'!$C$6:$C$65,MATCH($C29,'Dépouillement'!$A$6:$A$65,0)),"Séq. introuvable"))</f>
        <v/>
      </c>
      <c r="F29" s="12">
        <f>IF($C29="","",IFERROR(INDEX('Dépouillement'!$D$6:$D$65,MATCH($C29,'Dépouillement'!$A$6:$A$65,0)),"Séq. introuvable"))</f>
        <v/>
      </c>
      <c r="G29" s="13">
        <f>IF($C29="","",IFERROR(INDEX('Dépouillement'!$F$6:$F$65,MATCH($C29,'Dépouillement'!$A$6:$A$65,0)),"Séq. introuvable"))</f>
        <v/>
      </c>
      <c r="H29" s="14">
        <f>IF($C29="","",IF(AND(ISNUMBER(J28),B29=B28),J28+$H$3/1440,$E$3))</f>
        <v/>
      </c>
      <c r="I29" s="8" t="n"/>
      <c r="J29" s="14">
        <f>IF(OR(H29="",I29=""),"",H29+I29/1440)</f>
        <v/>
      </c>
      <c r="K29" s="8" t="n"/>
      <c r="L29" s="9" t="n"/>
    </row>
    <row r="30" ht="20" customHeight="1">
      <c r="A30" s="12">
        <f>IF($C30="","",COUNT($C$6:$C30))</f>
        <v/>
      </c>
      <c r="B30" s="8" t="n"/>
      <c r="C30" s="8" t="n"/>
      <c r="D30" s="13">
        <f>IF($C30="","",IFERROR(INDEX('Dépouillement'!$B$6:$B$65,MATCH($C30,'Dépouillement'!$A$6:$A$65,0)),"Séq. introuvable"))</f>
        <v/>
      </c>
      <c r="E30" s="12">
        <f>IF($C30="","",IFERROR(INDEX('Dépouillement'!$C$6:$C$65,MATCH($C30,'Dépouillement'!$A$6:$A$65,0)),"Séq. introuvable"))</f>
        <v/>
      </c>
      <c r="F30" s="12">
        <f>IF($C30="","",IFERROR(INDEX('Dépouillement'!$D$6:$D$65,MATCH($C30,'Dépouillement'!$A$6:$A$65,0)),"Séq. introuvable"))</f>
        <v/>
      </c>
      <c r="G30" s="13">
        <f>IF($C30="","",IFERROR(INDEX('Dépouillement'!$F$6:$F$65,MATCH($C30,'Dépouillement'!$A$6:$A$65,0)),"Séq. introuvable"))</f>
        <v/>
      </c>
      <c r="H30" s="14">
        <f>IF($C30="","",IF(AND(ISNUMBER(J29),B30=B29),J29+$H$3/1440,$E$3))</f>
        <v/>
      </c>
      <c r="I30" s="8" t="n"/>
      <c r="J30" s="14">
        <f>IF(OR(H30="",I30=""),"",H30+I30/1440)</f>
        <v/>
      </c>
      <c r="K30" s="8" t="n"/>
      <c r="L30" s="9" t="n"/>
    </row>
    <row r="31" ht="20" customHeight="1">
      <c r="A31" s="12">
        <f>IF($C31="","",COUNT($C$6:$C31))</f>
        <v/>
      </c>
      <c r="B31" s="8" t="n"/>
      <c r="C31" s="8" t="n"/>
      <c r="D31" s="13">
        <f>IF($C31="","",IFERROR(INDEX('Dépouillement'!$B$6:$B$65,MATCH($C31,'Dépouillement'!$A$6:$A$65,0)),"Séq. introuvable"))</f>
        <v/>
      </c>
      <c r="E31" s="12">
        <f>IF($C31="","",IFERROR(INDEX('Dépouillement'!$C$6:$C$65,MATCH($C31,'Dépouillement'!$A$6:$A$65,0)),"Séq. introuvable"))</f>
        <v/>
      </c>
      <c r="F31" s="12">
        <f>IF($C31="","",IFERROR(INDEX('Dépouillement'!$D$6:$D$65,MATCH($C31,'Dépouillement'!$A$6:$A$65,0)),"Séq. introuvable"))</f>
        <v/>
      </c>
      <c r="G31" s="13">
        <f>IF($C31="","",IFERROR(INDEX('Dépouillement'!$F$6:$F$65,MATCH($C31,'Dépouillement'!$A$6:$A$65,0)),"Séq. introuvable"))</f>
        <v/>
      </c>
      <c r="H31" s="14">
        <f>IF($C31="","",IF(AND(ISNUMBER(J30),B31=B30),J30+$H$3/1440,$E$3))</f>
        <v/>
      </c>
      <c r="I31" s="8" t="n"/>
      <c r="J31" s="14">
        <f>IF(OR(H31="",I31=""),"",H31+I31/1440)</f>
        <v/>
      </c>
      <c r="K31" s="8" t="n"/>
      <c r="L31" s="9" t="n"/>
    </row>
    <row r="32" ht="20" customHeight="1">
      <c r="A32" s="12">
        <f>IF($C32="","",COUNT($C$6:$C32))</f>
        <v/>
      </c>
      <c r="B32" s="8" t="n"/>
      <c r="C32" s="8" t="n"/>
      <c r="D32" s="13">
        <f>IF($C32="","",IFERROR(INDEX('Dépouillement'!$B$6:$B$65,MATCH($C32,'Dépouillement'!$A$6:$A$65,0)),"Séq. introuvable"))</f>
        <v/>
      </c>
      <c r="E32" s="12">
        <f>IF($C32="","",IFERROR(INDEX('Dépouillement'!$C$6:$C$65,MATCH($C32,'Dépouillement'!$A$6:$A$65,0)),"Séq. introuvable"))</f>
        <v/>
      </c>
      <c r="F32" s="12">
        <f>IF($C32="","",IFERROR(INDEX('Dépouillement'!$D$6:$D$65,MATCH($C32,'Dépouillement'!$A$6:$A$65,0)),"Séq. introuvable"))</f>
        <v/>
      </c>
      <c r="G32" s="13">
        <f>IF($C32="","",IFERROR(INDEX('Dépouillement'!$F$6:$F$65,MATCH($C32,'Dépouillement'!$A$6:$A$65,0)),"Séq. introuvable"))</f>
        <v/>
      </c>
      <c r="H32" s="14">
        <f>IF($C32="","",IF(AND(ISNUMBER(J31),B32=B31),J31+$H$3/1440,$E$3))</f>
        <v/>
      </c>
      <c r="I32" s="8" t="n"/>
      <c r="J32" s="14">
        <f>IF(OR(H32="",I32=""),"",H32+I32/1440)</f>
        <v/>
      </c>
      <c r="K32" s="8" t="n"/>
      <c r="L32" s="9" t="n"/>
    </row>
    <row r="33" ht="20" customHeight="1">
      <c r="A33" s="12">
        <f>IF($C33="","",COUNT($C$6:$C33))</f>
        <v/>
      </c>
      <c r="B33" s="8" t="n"/>
      <c r="C33" s="8" t="n"/>
      <c r="D33" s="13">
        <f>IF($C33="","",IFERROR(INDEX('Dépouillement'!$B$6:$B$65,MATCH($C33,'Dépouillement'!$A$6:$A$65,0)),"Séq. introuvable"))</f>
        <v/>
      </c>
      <c r="E33" s="12">
        <f>IF($C33="","",IFERROR(INDEX('Dépouillement'!$C$6:$C$65,MATCH($C33,'Dépouillement'!$A$6:$A$65,0)),"Séq. introuvable"))</f>
        <v/>
      </c>
      <c r="F33" s="12">
        <f>IF($C33="","",IFERROR(INDEX('Dépouillement'!$D$6:$D$65,MATCH($C33,'Dépouillement'!$A$6:$A$65,0)),"Séq. introuvable"))</f>
        <v/>
      </c>
      <c r="G33" s="13">
        <f>IF($C33="","",IFERROR(INDEX('Dépouillement'!$F$6:$F$65,MATCH($C33,'Dépouillement'!$A$6:$A$65,0)),"Séq. introuvable"))</f>
        <v/>
      </c>
      <c r="H33" s="14">
        <f>IF($C33="","",IF(AND(ISNUMBER(J32),B33=B32),J32+$H$3/1440,$E$3))</f>
        <v/>
      </c>
      <c r="I33" s="8" t="n"/>
      <c r="J33" s="14">
        <f>IF(OR(H33="",I33=""),"",H33+I33/1440)</f>
        <v/>
      </c>
      <c r="K33" s="8" t="n"/>
      <c r="L33" s="9" t="n"/>
    </row>
    <row r="34" ht="20" customHeight="1">
      <c r="A34" s="12">
        <f>IF($C34="","",COUNT($C$6:$C34))</f>
        <v/>
      </c>
      <c r="B34" s="8" t="n"/>
      <c r="C34" s="8" t="n"/>
      <c r="D34" s="13">
        <f>IF($C34="","",IFERROR(INDEX('Dépouillement'!$B$6:$B$65,MATCH($C34,'Dépouillement'!$A$6:$A$65,0)),"Séq. introuvable"))</f>
        <v/>
      </c>
      <c r="E34" s="12">
        <f>IF($C34="","",IFERROR(INDEX('Dépouillement'!$C$6:$C$65,MATCH($C34,'Dépouillement'!$A$6:$A$65,0)),"Séq. introuvable"))</f>
        <v/>
      </c>
      <c r="F34" s="12">
        <f>IF($C34="","",IFERROR(INDEX('Dépouillement'!$D$6:$D$65,MATCH($C34,'Dépouillement'!$A$6:$A$65,0)),"Séq. introuvable"))</f>
        <v/>
      </c>
      <c r="G34" s="13">
        <f>IF($C34="","",IFERROR(INDEX('Dépouillement'!$F$6:$F$65,MATCH($C34,'Dépouillement'!$A$6:$A$65,0)),"Séq. introuvable"))</f>
        <v/>
      </c>
      <c r="H34" s="14">
        <f>IF($C34="","",IF(AND(ISNUMBER(J33),B34=B33),J33+$H$3/1440,$E$3))</f>
        <v/>
      </c>
      <c r="I34" s="8" t="n"/>
      <c r="J34" s="14">
        <f>IF(OR(H34="",I34=""),"",H34+I34/1440)</f>
        <v/>
      </c>
      <c r="K34" s="8" t="n"/>
      <c r="L34" s="9" t="n"/>
    </row>
    <row r="35" ht="20" customHeight="1">
      <c r="A35" s="12">
        <f>IF($C35="","",COUNT($C$6:$C35))</f>
        <v/>
      </c>
      <c r="B35" s="8" t="n"/>
      <c r="C35" s="8" t="n"/>
      <c r="D35" s="13">
        <f>IF($C35="","",IFERROR(INDEX('Dépouillement'!$B$6:$B$65,MATCH($C35,'Dépouillement'!$A$6:$A$65,0)),"Séq. introuvable"))</f>
        <v/>
      </c>
      <c r="E35" s="12">
        <f>IF($C35="","",IFERROR(INDEX('Dépouillement'!$C$6:$C$65,MATCH($C35,'Dépouillement'!$A$6:$A$65,0)),"Séq. introuvable"))</f>
        <v/>
      </c>
      <c r="F35" s="12">
        <f>IF($C35="","",IFERROR(INDEX('Dépouillement'!$D$6:$D$65,MATCH($C35,'Dépouillement'!$A$6:$A$65,0)),"Séq. introuvable"))</f>
        <v/>
      </c>
      <c r="G35" s="13">
        <f>IF($C35="","",IFERROR(INDEX('Dépouillement'!$F$6:$F$65,MATCH($C35,'Dépouillement'!$A$6:$A$65,0)),"Séq. introuvable"))</f>
        <v/>
      </c>
      <c r="H35" s="14">
        <f>IF($C35="","",IF(AND(ISNUMBER(J34),B35=B34),J34+$H$3/1440,$E$3))</f>
        <v/>
      </c>
      <c r="I35" s="8" t="n"/>
      <c r="J35" s="14">
        <f>IF(OR(H35="",I35=""),"",H35+I35/1440)</f>
        <v/>
      </c>
      <c r="K35" s="8" t="n"/>
      <c r="L35" s="9" t="n"/>
    </row>
    <row r="36" ht="20" customHeight="1">
      <c r="A36" s="12">
        <f>IF($C36="","",COUNT($C$6:$C36))</f>
        <v/>
      </c>
      <c r="B36" s="8" t="n"/>
      <c r="C36" s="8" t="n"/>
      <c r="D36" s="13">
        <f>IF($C36="","",IFERROR(INDEX('Dépouillement'!$B$6:$B$65,MATCH($C36,'Dépouillement'!$A$6:$A$65,0)),"Séq. introuvable"))</f>
        <v/>
      </c>
      <c r="E36" s="12">
        <f>IF($C36="","",IFERROR(INDEX('Dépouillement'!$C$6:$C$65,MATCH($C36,'Dépouillement'!$A$6:$A$65,0)),"Séq. introuvable"))</f>
        <v/>
      </c>
      <c r="F36" s="12">
        <f>IF($C36="","",IFERROR(INDEX('Dépouillement'!$D$6:$D$65,MATCH($C36,'Dépouillement'!$A$6:$A$65,0)),"Séq. introuvable"))</f>
        <v/>
      </c>
      <c r="G36" s="13">
        <f>IF($C36="","",IFERROR(INDEX('Dépouillement'!$F$6:$F$65,MATCH($C36,'Dépouillement'!$A$6:$A$65,0)),"Séq. introuvable"))</f>
        <v/>
      </c>
      <c r="H36" s="14">
        <f>IF($C36="","",IF(AND(ISNUMBER(J35),B36=B35),J35+$H$3/1440,$E$3))</f>
        <v/>
      </c>
      <c r="I36" s="8" t="n"/>
      <c r="J36" s="14">
        <f>IF(OR(H36="",I36=""),"",H36+I36/1440)</f>
        <v/>
      </c>
      <c r="K36" s="8" t="n"/>
      <c r="L36" s="9" t="n"/>
    </row>
    <row r="37" ht="20" customHeight="1">
      <c r="A37" s="12">
        <f>IF($C37="","",COUNT($C$6:$C37))</f>
        <v/>
      </c>
      <c r="B37" s="8" t="n"/>
      <c r="C37" s="8" t="n"/>
      <c r="D37" s="13">
        <f>IF($C37="","",IFERROR(INDEX('Dépouillement'!$B$6:$B$65,MATCH($C37,'Dépouillement'!$A$6:$A$65,0)),"Séq. introuvable"))</f>
        <v/>
      </c>
      <c r="E37" s="12">
        <f>IF($C37="","",IFERROR(INDEX('Dépouillement'!$C$6:$C$65,MATCH($C37,'Dépouillement'!$A$6:$A$65,0)),"Séq. introuvable"))</f>
        <v/>
      </c>
      <c r="F37" s="12">
        <f>IF($C37="","",IFERROR(INDEX('Dépouillement'!$D$6:$D$65,MATCH($C37,'Dépouillement'!$A$6:$A$65,0)),"Séq. introuvable"))</f>
        <v/>
      </c>
      <c r="G37" s="13">
        <f>IF($C37="","",IFERROR(INDEX('Dépouillement'!$F$6:$F$65,MATCH($C37,'Dépouillement'!$A$6:$A$65,0)),"Séq. introuvable"))</f>
        <v/>
      </c>
      <c r="H37" s="14">
        <f>IF($C37="","",IF(AND(ISNUMBER(J36),B37=B36),J36+$H$3/1440,$E$3))</f>
        <v/>
      </c>
      <c r="I37" s="8" t="n"/>
      <c r="J37" s="14">
        <f>IF(OR(H37="",I37=""),"",H37+I37/1440)</f>
        <v/>
      </c>
      <c r="K37" s="8" t="n"/>
      <c r="L37" s="9" t="n"/>
    </row>
    <row r="38" ht="20" customHeight="1">
      <c r="A38" s="12">
        <f>IF($C38="","",COUNT($C$6:$C38))</f>
        <v/>
      </c>
      <c r="B38" s="8" t="n"/>
      <c r="C38" s="8" t="n"/>
      <c r="D38" s="13">
        <f>IF($C38="","",IFERROR(INDEX('Dépouillement'!$B$6:$B$65,MATCH($C38,'Dépouillement'!$A$6:$A$65,0)),"Séq. introuvable"))</f>
        <v/>
      </c>
      <c r="E38" s="12">
        <f>IF($C38="","",IFERROR(INDEX('Dépouillement'!$C$6:$C$65,MATCH($C38,'Dépouillement'!$A$6:$A$65,0)),"Séq. introuvable"))</f>
        <v/>
      </c>
      <c r="F38" s="12">
        <f>IF($C38="","",IFERROR(INDEX('Dépouillement'!$D$6:$D$65,MATCH($C38,'Dépouillement'!$A$6:$A$65,0)),"Séq. introuvable"))</f>
        <v/>
      </c>
      <c r="G38" s="13">
        <f>IF($C38="","",IFERROR(INDEX('Dépouillement'!$F$6:$F$65,MATCH($C38,'Dépouillement'!$A$6:$A$65,0)),"Séq. introuvable"))</f>
        <v/>
      </c>
      <c r="H38" s="14">
        <f>IF($C38="","",IF(AND(ISNUMBER(J37),B38=B37),J37+$H$3/1440,$E$3))</f>
        <v/>
      </c>
      <c r="I38" s="8" t="n"/>
      <c r="J38" s="14">
        <f>IF(OR(H38="",I38=""),"",H38+I38/1440)</f>
        <v/>
      </c>
      <c r="K38" s="8" t="n"/>
      <c r="L38" s="9" t="n"/>
    </row>
    <row r="39" ht="20" customHeight="1">
      <c r="A39" s="12">
        <f>IF($C39="","",COUNT($C$6:$C39))</f>
        <v/>
      </c>
      <c r="B39" s="8" t="n"/>
      <c r="C39" s="8" t="n"/>
      <c r="D39" s="13">
        <f>IF($C39="","",IFERROR(INDEX('Dépouillement'!$B$6:$B$65,MATCH($C39,'Dépouillement'!$A$6:$A$65,0)),"Séq. introuvable"))</f>
        <v/>
      </c>
      <c r="E39" s="12">
        <f>IF($C39="","",IFERROR(INDEX('Dépouillement'!$C$6:$C$65,MATCH($C39,'Dépouillement'!$A$6:$A$65,0)),"Séq. introuvable"))</f>
        <v/>
      </c>
      <c r="F39" s="12">
        <f>IF($C39="","",IFERROR(INDEX('Dépouillement'!$D$6:$D$65,MATCH($C39,'Dépouillement'!$A$6:$A$65,0)),"Séq. introuvable"))</f>
        <v/>
      </c>
      <c r="G39" s="13">
        <f>IF($C39="","",IFERROR(INDEX('Dépouillement'!$F$6:$F$65,MATCH($C39,'Dépouillement'!$A$6:$A$65,0)),"Séq. introuvable"))</f>
        <v/>
      </c>
      <c r="H39" s="14">
        <f>IF($C39="","",IF(AND(ISNUMBER(J38),B39=B38),J38+$H$3/1440,$E$3))</f>
        <v/>
      </c>
      <c r="I39" s="8" t="n"/>
      <c r="J39" s="14">
        <f>IF(OR(H39="",I39=""),"",H39+I39/1440)</f>
        <v/>
      </c>
      <c r="K39" s="8" t="n"/>
      <c r="L39" s="9" t="n"/>
    </row>
    <row r="40" ht="20" customHeight="1">
      <c r="A40" s="12">
        <f>IF($C40="","",COUNT($C$6:$C40))</f>
        <v/>
      </c>
      <c r="B40" s="8" t="n"/>
      <c r="C40" s="8" t="n"/>
      <c r="D40" s="13">
        <f>IF($C40="","",IFERROR(INDEX('Dépouillement'!$B$6:$B$65,MATCH($C40,'Dépouillement'!$A$6:$A$65,0)),"Séq. introuvable"))</f>
        <v/>
      </c>
      <c r="E40" s="12">
        <f>IF($C40="","",IFERROR(INDEX('Dépouillement'!$C$6:$C$65,MATCH($C40,'Dépouillement'!$A$6:$A$65,0)),"Séq. introuvable"))</f>
        <v/>
      </c>
      <c r="F40" s="12">
        <f>IF($C40="","",IFERROR(INDEX('Dépouillement'!$D$6:$D$65,MATCH($C40,'Dépouillement'!$A$6:$A$65,0)),"Séq. introuvable"))</f>
        <v/>
      </c>
      <c r="G40" s="13">
        <f>IF($C40="","",IFERROR(INDEX('Dépouillement'!$F$6:$F$65,MATCH($C40,'Dépouillement'!$A$6:$A$65,0)),"Séq. introuvable"))</f>
        <v/>
      </c>
      <c r="H40" s="14">
        <f>IF($C40="","",IF(AND(ISNUMBER(J39),B40=B39),J39+$H$3/1440,$E$3))</f>
        <v/>
      </c>
      <c r="I40" s="8" t="n"/>
      <c r="J40" s="14">
        <f>IF(OR(H40="",I40=""),"",H40+I40/1440)</f>
        <v/>
      </c>
      <c r="K40" s="8" t="n"/>
      <c r="L40" s="9" t="n"/>
    </row>
    <row r="41" ht="20" customHeight="1">
      <c r="A41" s="12">
        <f>IF($C41="","",COUNT($C$6:$C41))</f>
        <v/>
      </c>
      <c r="B41" s="8" t="n"/>
      <c r="C41" s="8" t="n"/>
      <c r="D41" s="13">
        <f>IF($C41="","",IFERROR(INDEX('Dépouillement'!$B$6:$B$65,MATCH($C41,'Dépouillement'!$A$6:$A$65,0)),"Séq. introuvable"))</f>
        <v/>
      </c>
      <c r="E41" s="12">
        <f>IF($C41="","",IFERROR(INDEX('Dépouillement'!$C$6:$C$65,MATCH($C41,'Dépouillement'!$A$6:$A$65,0)),"Séq. introuvable"))</f>
        <v/>
      </c>
      <c r="F41" s="12">
        <f>IF($C41="","",IFERROR(INDEX('Dépouillement'!$D$6:$D$65,MATCH($C41,'Dépouillement'!$A$6:$A$65,0)),"Séq. introuvable"))</f>
        <v/>
      </c>
      <c r="G41" s="13">
        <f>IF($C41="","",IFERROR(INDEX('Dépouillement'!$F$6:$F$65,MATCH($C41,'Dépouillement'!$A$6:$A$65,0)),"Séq. introuvable"))</f>
        <v/>
      </c>
      <c r="H41" s="14">
        <f>IF($C41="","",IF(AND(ISNUMBER(J40),B41=B40),J40+$H$3/1440,$E$3))</f>
        <v/>
      </c>
      <c r="I41" s="8" t="n"/>
      <c r="J41" s="14">
        <f>IF(OR(H41="",I41=""),"",H41+I41/1440)</f>
        <v/>
      </c>
      <c r="K41" s="8" t="n"/>
      <c r="L41" s="9" t="n"/>
    </row>
    <row r="42" ht="20" customHeight="1">
      <c r="A42" s="12">
        <f>IF($C42="","",COUNT($C$6:$C42))</f>
        <v/>
      </c>
      <c r="B42" s="8" t="n"/>
      <c r="C42" s="8" t="n"/>
      <c r="D42" s="13">
        <f>IF($C42="","",IFERROR(INDEX('Dépouillement'!$B$6:$B$65,MATCH($C42,'Dépouillement'!$A$6:$A$65,0)),"Séq. introuvable"))</f>
        <v/>
      </c>
      <c r="E42" s="12">
        <f>IF($C42="","",IFERROR(INDEX('Dépouillement'!$C$6:$C$65,MATCH($C42,'Dépouillement'!$A$6:$A$65,0)),"Séq. introuvable"))</f>
        <v/>
      </c>
      <c r="F42" s="12">
        <f>IF($C42="","",IFERROR(INDEX('Dépouillement'!$D$6:$D$65,MATCH($C42,'Dépouillement'!$A$6:$A$65,0)),"Séq. introuvable"))</f>
        <v/>
      </c>
      <c r="G42" s="13">
        <f>IF($C42="","",IFERROR(INDEX('Dépouillement'!$F$6:$F$65,MATCH($C42,'Dépouillement'!$A$6:$A$65,0)),"Séq. introuvable"))</f>
        <v/>
      </c>
      <c r="H42" s="14">
        <f>IF($C42="","",IF(AND(ISNUMBER(J41),B42=B41),J41+$H$3/1440,$E$3))</f>
        <v/>
      </c>
      <c r="I42" s="8" t="n"/>
      <c r="J42" s="14">
        <f>IF(OR(H42="",I42=""),"",H42+I42/1440)</f>
        <v/>
      </c>
      <c r="K42" s="8" t="n"/>
      <c r="L42" s="9" t="n"/>
    </row>
    <row r="43" ht="20" customHeight="1">
      <c r="A43" s="12">
        <f>IF($C43="","",COUNT($C$6:$C43))</f>
        <v/>
      </c>
      <c r="B43" s="8" t="n"/>
      <c r="C43" s="8" t="n"/>
      <c r="D43" s="13">
        <f>IF($C43="","",IFERROR(INDEX('Dépouillement'!$B$6:$B$65,MATCH($C43,'Dépouillement'!$A$6:$A$65,0)),"Séq. introuvable"))</f>
        <v/>
      </c>
      <c r="E43" s="12">
        <f>IF($C43="","",IFERROR(INDEX('Dépouillement'!$C$6:$C$65,MATCH($C43,'Dépouillement'!$A$6:$A$65,0)),"Séq. introuvable"))</f>
        <v/>
      </c>
      <c r="F43" s="12">
        <f>IF($C43="","",IFERROR(INDEX('Dépouillement'!$D$6:$D$65,MATCH($C43,'Dépouillement'!$A$6:$A$65,0)),"Séq. introuvable"))</f>
        <v/>
      </c>
      <c r="G43" s="13">
        <f>IF($C43="","",IFERROR(INDEX('Dépouillement'!$F$6:$F$65,MATCH($C43,'Dépouillement'!$A$6:$A$65,0)),"Séq. introuvable"))</f>
        <v/>
      </c>
      <c r="H43" s="14">
        <f>IF($C43="","",IF(AND(ISNUMBER(J42),B43=B42),J42+$H$3/1440,$E$3))</f>
        <v/>
      </c>
      <c r="I43" s="8" t="n"/>
      <c r="J43" s="14">
        <f>IF(OR(H43="",I43=""),"",H43+I43/1440)</f>
        <v/>
      </c>
      <c r="K43" s="8" t="n"/>
      <c r="L43" s="9" t="n"/>
    </row>
    <row r="44" ht="20" customHeight="1">
      <c r="A44" s="12">
        <f>IF($C44="","",COUNT($C$6:$C44))</f>
        <v/>
      </c>
      <c r="B44" s="8" t="n"/>
      <c r="C44" s="8" t="n"/>
      <c r="D44" s="13">
        <f>IF($C44="","",IFERROR(INDEX('Dépouillement'!$B$6:$B$65,MATCH($C44,'Dépouillement'!$A$6:$A$65,0)),"Séq. introuvable"))</f>
        <v/>
      </c>
      <c r="E44" s="12">
        <f>IF($C44="","",IFERROR(INDEX('Dépouillement'!$C$6:$C$65,MATCH($C44,'Dépouillement'!$A$6:$A$65,0)),"Séq. introuvable"))</f>
        <v/>
      </c>
      <c r="F44" s="12">
        <f>IF($C44="","",IFERROR(INDEX('Dépouillement'!$D$6:$D$65,MATCH($C44,'Dépouillement'!$A$6:$A$65,0)),"Séq. introuvable"))</f>
        <v/>
      </c>
      <c r="G44" s="13">
        <f>IF($C44="","",IFERROR(INDEX('Dépouillement'!$F$6:$F$65,MATCH($C44,'Dépouillement'!$A$6:$A$65,0)),"Séq. introuvable"))</f>
        <v/>
      </c>
      <c r="H44" s="14">
        <f>IF($C44="","",IF(AND(ISNUMBER(J43),B44=B43),J43+$H$3/1440,$E$3))</f>
        <v/>
      </c>
      <c r="I44" s="8" t="n"/>
      <c r="J44" s="14">
        <f>IF(OR(H44="",I44=""),"",H44+I44/1440)</f>
        <v/>
      </c>
      <c r="K44" s="8" t="n"/>
      <c r="L44" s="9" t="n"/>
    </row>
    <row r="45" ht="20" customHeight="1">
      <c r="A45" s="12">
        <f>IF($C45="","",COUNT($C$6:$C45))</f>
        <v/>
      </c>
      <c r="B45" s="8" t="n"/>
      <c r="C45" s="8" t="n"/>
      <c r="D45" s="13">
        <f>IF($C45="","",IFERROR(INDEX('Dépouillement'!$B$6:$B$65,MATCH($C45,'Dépouillement'!$A$6:$A$65,0)),"Séq. introuvable"))</f>
        <v/>
      </c>
      <c r="E45" s="12">
        <f>IF($C45="","",IFERROR(INDEX('Dépouillement'!$C$6:$C$65,MATCH($C45,'Dépouillement'!$A$6:$A$65,0)),"Séq. introuvable"))</f>
        <v/>
      </c>
      <c r="F45" s="12">
        <f>IF($C45="","",IFERROR(INDEX('Dépouillement'!$D$6:$D$65,MATCH($C45,'Dépouillement'!$A$6:$A$65,0)),"Séq. introuvable"))</f>
        <v/>
      </c>
      <c r="G45" s="13">
        <f>IF($C45="","",IFERROR(INDEX('Dépouillement'!$F$6:$F$65,MATCH($C45,'Dépouillement'!$A$6:$A$65,0)),"Séq. introuvable"))</f>
        <v/>
      </c>
      <c r="H45" s="14">
        <f>IF($C45="","",IF(AND(ISNUMBER(J44),B45=B44),J44+$H$3/1440,$E$3))</f>
        <v/>
      </c>
      <c r="I45" s="8" t="n"/>
      <c r="J45" s="14">
        <f>IF(OR(H45="",I45=""),"",H45+I45/1440)</f>
        <v/>
      </c>
      <c r="K45" s="8" t="n"/>
      <c r="L45" s="9" t="n"/>
    </row>
    <row r="46" ht="20" customHeight="1">
      <c r="A46" s="12">
        <f>IF($C46="","",COUNT($C$6:$C46))</f>
        <v/>
      </c>
      <c r="B46" s="8" t="n"/>
      <c r="C46" s="8" t="n"/>
      <c r="D46" s="13">
        <f>IF($C46="","",IFERROR(INDEX('Dépouillement'!$B$6:$B$65,MATCH($C46,'Dépouillement'!$A$6:$A$65,0)),"Séq. introuvable"))</f>
        <v/>
      </c>
      <c r="E46" s="12">
        <f>IF($C46="","",IFERROR(INDEX('Dépouillement'!$C$6:$C$65,MATCH($C46,'Dépouillement'!$A$6:$A$65,0)),"Séq. introuvable"))</f>
        <v/>
      </c>
      <c r="F46" s="12">
        <f>IF($C46="","",IFERROR(INDEX('Dépouillement'!$D$6:$D$65,MATCH($C46,'Dépouillement'!$A$6:$A$65,0)),"Séq. introuvable"))</f>
        <v/>
      </c>
      <c r="G46" s="13">
        <f>IF($C46="","",IFERROR(INDEX('Dépouillement'!$F$6:$F$65,MATCH($C46,'Dépouillement'!$A$6:$A$65,0)),"Séq. introuvable"))</f>
        <v/>
      </c>
      <c r="H46" s="14">
        <f>IF($C46="","",IF(AND(ISNUMBER(J45),B46=B45),J45+$H$3/1440,$E$3))</f>
        <v/>
      </c>
      <c r="I46" s="8" t="n"/>
      <c r="J46" s="14">
        <f>IF(OR(H46="",I46=""),"",H46+I46/1440)</f>
        <v/>
      </c>
      <c r="K46" s="8" t="n"/>
      <c r="L46" s="9" t="n"/>
    </row>
    <row r="47" ht="20" customHeight="1">
      <c r="A47" s="12">
        <f>IF($C47="","",COUNT($C$6:$C47))</f>
        <v/>
      </c>
      <c r="B47" s="8" t="n"/>
      <c r="C47" s="8" t="n"/>
      <c r="D47" s="13">
        <f>IF($C47="","",IFERROR(INDEX('Dépouillement'!$B$6:$B$65,MATCH($C47,'Dépouillement'!$A$6:$A$65,0)),"Séq. introuvable"))</f>
        <v/>
      </c>
      <c r="E47" s="12">
        <f>IF($C47="","",IFERROR(INDEX('Dépouillement'!$C$6:$C$65,MATCH($C47,'Dépouillement'!$A$6:$A$65,0)),"Séq. introuvable"))</f>
        <v/>
      </c>
      <c r="F47" s="12">
        <f>IF($C47="","",IFERROR(INDEX('Dépouillement'!$D$6:$D$65,MATCH($C47,'Dépouillement'!$A$6:$A$65,0)),"Séq. introuvable"))</f>
        <v/>
      </c>
      <c r="G47" s="13">
        <f>IF($C47="","",IFERROR(INDEX('Dépouillement'!$F$6:$F$65,MATCH($C47,'Dépouillement'!$A$6:$A$65,0)),"Séq. introuvable"))</f>
        <v/>
      </c>
      <c r="H47" s="14">
        <f>IF($C47="","",IF(AND(ISNUMBER(J46),B47=B46),J46+$H$3/1440,$E$3))</f>
        <v/>
      </c>
      <c r="I47" s="8" t="n"/>
      <c r="J47" s="14">
        <f>IF(OR(H47="",I47=""),"",H47+I47/1440)</f>
        <v/>
      </c>
      <c r="K47" s="8" t="n"/>
      <c r="L47" s="9" t="n"/>
    </row>
    <row r="48" ht="20" customHeight="1">
      <c r="A48" s="12">
        <f>IF($C48="","",COUNT($C$6:$C48))</f>
        <v/>
      </c>
      <c r="B48" s="8" t="n"/>
      <c r="C48" s="8" t="n"/>
      <c r="D48" s="13">
        <f>IF($C48="","",IFERROR(INDEX('Dépouillement'!$B$6:$B$65,MATCH($C48,'Dépouillement'!$A$6:$A$65,0)),"Séq. introuvable"))</f>
        <v/>
      </c>
      <c r="E48" s="12">
        <f>IF($C48="","",IFERROR(INDEX('Dépouillement'!$C$6:$C$65,MATCH($C48,'Dépouillement'!$A$6:$A$65,0)),"Séq. introuvable"))</f>
        <v/>
      </c>
      <c r="F48" s="12">
        <f>IF($C48="","",IFERROR(INDEX('Dépouillement'!$D$6:$D$65,MATCH($C48,'Dépouillement'!$A$6:$A$65,0)),"Séq. introuvable"))</f>
        <v/>
      </c>
      <c r="G48" s="13">
        <f>IF($C48="","",IFERROR(INDEX('Dépouillement'!$F$6:$F$65,MATCH($C48,'Dépouillement'!$A$6:$A$65,0)),"Séq. introuvable"))</f>
        <v/>
      </c>
      <c r="H48" s="14">
        <f>IF($C48="","",IF(AND(ISNUMBER(J47),B48=B47),J47+$H$3/1440,$E$3))</f>
        <v/>
      </c>
      <c r="I48" s="8" t="n"/>
      <c r="J48" s="14">
        <f>IF(OR(H48="",I48=""),"",H48+I48/1440)</f>
        <v/>
      </c>
      <c r="K48" s="8" t="n"/>
      <c r="L48" s="9" t="n"/>
    </row>
    <row r="49" ht="20" customHeight="1">
      <c r="A49" s="12">
        <f>IF($C49="","",COUNT($C$6:$C49))</f>
        <v/>
      </c>
      <c r="B49" s="8" t="n"/>
      <c r="C49" s="8" t="n"/>
      <c r="D49" s="13">
        <f>IF($C49="","",IFERROR(INDEX('Dépouillement'!$B$6:$B$65,MATCH($C49,'Dépouillement'!$A$6:$A$65,0)),"Séq. introuvable"))</f>
        <v/>
      </c>
      <c r="E49" s="12">
        <f>IF($C49="","",IFERROR(INDEX('Dépouillement'!$C$6:$C$65,MATCH($C49,'Dépouillement'!$A$6:$A$65,0)),"Séq. introuvable"))</f>
        <v/>
      </c>
      <c r="F49" s="12">
        <f>IF($C49="","",IFERROR(INDEX('Dépouillement'!$D$6:$D$65,MATCH($C49,'Dépouillement'!$A$6:$A$65,0)),"Séq. introuvable"))</f>
        <v/>
      </c>
      <c r="G49" s="13">
        <f>IF($C49="","",IFERROR(INDEX('Dépouillement'!$F$6:$F$65,MATCH($C49,'Dépouillement'!$A$6:$A$65,0)),"Séq. introuvable"))</f>
        <v/>
      </c>
      <c r="H49" s="14">
        <f>IF($C49="","",IF(AND(ISNUMBER(J48),B49=B48),J48+$H$3/1440,$E$3))</f>
        <v/>
      </c>
      <c r="I49" s="8" t="n"/>
      <c r="J49" s="14">
        <f>IF(OR(H49="",I49=""),"",H49+I49/1440)</f>
        <v/>
      </c>
      <c r="K49" s="8" t="n"/>
      <c r="L49" s="9" t="n"/>
    </row>
    <row r="50" ht="20" customHeight="1">
      <c r="A50" s="12">
        <f>IF($C50="","",COUNT($C$6:$C50))</f>
        <v/>
      </c>
      <c r="B50" s="8" t="n"/>
      <c r="C50" s="8" t="n"/>
      <c r="D50" s="13">
        <f>IF($C50="","",IFERROR(INDEX('Dépouillement'!$B$6:$B$65,MATCH($C50,'Dépouillement'!$A$6:$A$65,0)),"Séq. introuvable"))</f>
        <v/>
      </c>
      <c r="E50" s="12">
        <f>IF($C50="","",IFERROR(INDEX('Dépouillement'!$C$6:$C$65,MATCH($C50,'Dépouillement'!$A$6:$A$65,0)),"Séq. introuvable"))</f>
        <v/>
      </c>
      <c r="F50" s="12">
        <f>IF($C50="","",IFERROR(INDEX('Dépouillement'!$D$6:$D$65,MATCH($C50,'Dépouillement'!$A$6:$A$65,0)),"Séq. introuvable"))</f>
        <v/>
      </c>
      <c r="G50" s="13">
        <f>IF($C50="","",IFERROR(INDEX('Dépouillement'!$F$6:$F$65,MATCH($C50,'Dépouillement'!$A$6:$A$65,0)),"Séq. introuvable"))</f>
        <v/>
      </c>
      <c r="H50" s="14">
        <f>IF($C50="","",IF(AND(ISNUMBER(J49),B50=B49),J49+$H$3/1440,$E$3))</f>
        <v/>
      </c>
      <c r="I50" s="8" t="n"/>
      <c r="J50" s="14">
        <f>IF(OR(H50="",I50=""),"",H50+I50/1440)</f>
        <v/>
      </c>
      <c r="K50" s="8" t="n"/>
      <c r="L50" s="9" t="n"/>
    </row>
    <row r="51" ht="20" customHeight="1">
      <c r="A51" s="12">
        <f>IF($C51="","",COUNT($C$6:$C51))</f>
        <v/>
      </c>
      <c r="B51" s="8" t="n"/>
      <c r="C51" s="8" t="n"/>
      <c r="D51" s="13">
        <f>IF($C51="","",IFERROR(INDEX('Dépouillement'!$B$6:$B$65,MATCH($C51,'Dépouillement'!$A$6:$A$65,0)),"Séq. introuvable"))</f>
        <v/>
      </c>
      <c r="E51" s="12">
        <f>IF($C51="","",IFERROR(INDEX('Dépouillement'!$C$6:$C$65,MATCH($C51,'Dépouillement'!$A$6:$A$65,0)),"Séq. introuvable"))</f>
        <v/>
      </c>
      <c r="F51" s="12">
        <f>IF($C51="","",IFERROR(INDEX('Dépouillement'!$D$6:$D$65,MATCH($C51,'Dépouillement'!$A$6:$A$65,0)),"Séq. introuvable"))</f>
        <v/>
      </c>
      <c r="G51" s="13">
        <f>IF($C51="","",IFERROR(INDEX('Dépouillement'!$F$6:$F$65,MATCH($C51,'Dépouillement'!$A$6:$A$65,0)),"Séq. introuvable"))</f>
        <v/>
      </c>
      <c r="H51" s="14">
        <f>IF($C51="","",IF(AND(ISNUMBER(J50),B51=B50),J50+$H$3/1440,$E$3))</f>
        <v/>
      </c>
      <c r="I51" s="8" t="n"/>
      <c r="J51" s="14">
        <f>IF(OR(H51="",I51=""),"",H51+I51/1440)</f>
        <v/>
      </c>
      <c r="K51" s="8" t="n"/>
      <c r="L51" s="9" t="n"/>
    </row>
    <row r="52" ht="20" customHeight="1">
      <c r="A52" s="12">
        <f>IF($C52="","",COUNT($C$6:$C52))</f>
        <v/>
      </c>
      <c r="B52" s="8" t="n"/>
      <c r="C52" s="8" t="n"/>
      <c r="D52" s="13">
        <f>IF($C52="","",IFERROR(INDEX('Dépouillement'!$B$6:$B$65,MATCH($C52,'Dépouillement'!$A$6:$A$65,0)),"Séq. introuvable"))</f>
        <v/>
      </c>
      <c r="E52" s="12">
        <f>IF($C52="","",IFERROR(INDEX('Dépouillement'!$C$6:$C$65,MATCH($C52,'Dépouillement'!$A$6:$A$65,0)),"Séq. introuvable"))</f>
        <v/>
      </c>
      <c r="F52" s="12">
        <f>IF($C52="","",IFERROR(INDEX('Dépouillement'!$D$6:$D$65,MATCH($C52,'Dépouillement'!$A$6:$A$65,0)),"Séq. introuvable"))</f>
        <v/>
      </c>
      <c r="G52" s="13">
        <f>IF($C52="","",IFERROR(INDEX('Dépouillement'!$F$6:$F$65,MATCH($C52,'Dépouillement'!$A$6:$A$65,0)),"Séq. introuvable"))</f>
        <v/>
      </c>
      <c r="H52" s="14">
        <f>IF($C52="","",IF(AND(ISNUMBER(J51),B52=B51),J51+$H$3/1440,$E$3))</f>
        <v/>
      </c>
      <c r="I52" s="8" t="n"/>
      <c r="J52" s="14">
        <f>IF(OR(H52="",I52=""),"",H52+I52/1440)</f>
        <v/>
      </c>
      <c r="K52" s="8" t="n"/>
      <c r="L52" s="9" t="n"/>
    </row>
    <row r="53" ht="20" customHeight="1">
      <c r="A53" s="12">
        <f>IF($C53="","",COUNT($C$6:$C53))</f>
        <v/>
      </c>
      <c r="B53" s="8" t="n"/>
      <c r="C53" s="8" t="n"/>
      <c r="D53" s="13">
        <f>IF($C53="","",IFERROR(INDEX('Dépouillement'!$B$6:$B$65,MATCH($C53,'Dépouillement'!$A$6:$A$65,0)),"Séq. introuvable"))</f>
        <v/>
      </c>
      <c r="E53" s="12">
        <f>IF($C53="","",IFERROR(INDEX('Dépouillement'!$C$6:$C$65,MATCH($C53,'Dépouillement'!$A$6:$A$65,0)),"Séq. introuvable"))</f>
        <v/>
      </c>
      <c r="F53" s="12">
        <f>IF($C53="","",IFERROR(INDEX('Dépouillement'!$D$6:$D$65,MATCH($C53,'Dépouillement'!$A$6:$A$65,0)),"Séq. introuvable"))</f>
        <v/>
      </c>
      <c r="G53" s="13">
        <f>IF($C53="","",IFERROR(INDEX('Dépouillement'!$F$6:$F$65,MATCH($C53,'Dépouillement'!$A$6:$A$65,0)),"Séq. introuvable"))</f>
        <v/>
      </c>
      <c r="H53" s="14">
        <f>IF($C53="","",IF(AND(ISNUMBER(J52),B53=B52),J52+$H$3/1440,$E$3))</f>
        <v/>
      </c>
      <c r="I53" s="8" t="n"/>
      <c r="J53" s="14">
        <f>IF(OR(H53="",I53=""),"",H53+I53/1440)</f>
        <v/>
      </c>
      <c r="K53" s="8" t="n"/>
      <c r="L53" s="9" t="n"/>
    </row>
    <row r="54" ht="20" customHeight="1">
      <c r="A54" s="12">
        <f>IF($C54="","",COUNT($C$6:$C54))</f>
        <v/>
      </c>
      <c r="B54" s="8" t="n"/>
      <c r="C54" s="8" t="n"/>
      <c r="D54" s="13">
        <f>IF($C54="","",IFERROR(INDEX('Dépouillement'!$B$6:$B$65,MATCH($C54,'Dépouillement'!$A$6:$A$65,0)),"Séq. introuvable"))</f>
        <v/>
      </c>
      <c r="E54" s="12">
        <f>IF($C54="","",IFERROR(INDEX('Dépouillement'!$C$6:$C$65,MATCH($C54,'Dépouillement'!$A$6:$A$65,0)),"Séq. introuvable"))</f>
        <v/>
      </c>
      <c r="F54" s="12">
        <f>IF($C54="","",IFERROR(INDEX('Dépouillement'!$D$6:$D$65,MATCH($C54,'Dépouillement'!$A$6:$A$65,0)),"Séq. introuvable"))</f>
        <v/>
      </c>
      <c r="G54" s="13">
        <f>IF($C54="","",IFERROR(INDEX('Dépouillement'!$F$6:$F$65,MATCH($C54,'Dépouillement'!$A$6:$A$65,0)),"Séq. introuvable"))</f>
        <v/>
      </c>
      <c r="H54" s="14">
        <f>IF($C54="","",IF(AND(ISNUMBER(J53),B54=B53),J53+$H$3/1440,$E$3))</f>
        <v/>
      </c>
      <c r="I54" s="8" t="n"/>
      <c r="J54" s="14">
        <f>IF(OR(H54="",I54=""),"",H54+I54/1440)</f>
        <v/>
      </c>
      <c r="K54" s="8" t="n"/>
      <c r="L54" s="9" t="n"/>
    </row>
    <row r="55" ht="20" customHeight="1">
      <c r="A55" s="12">
        <f>IF($C55="","",COUNT($C$6:$C55))</f>
        <v/>
      </c>
      <c r="B55" s="8" t="n"/>
      <c r="C55" s="8" t="n"/>
      <c r="D55" s="13">
        <f>IF($C55="","",IFERROR(INDEX('Dépouillement'!$B$6:$B$65,MATCH($C55,'Dépouillement'!$A$6:$A$65,0)),"Séq. introuvable"))</f>
        <v/>
      </c>
      <c r="E55" s="12">
        <f>IF($C55="","",IFERROR(INDEX('Dépouillement'!$C$6:$C$65,MATCH($C55,'Dépouillement'!$A$6:$A$65,0)),"Séq. introuvable"))</f>
        <v/>
      </c>
      <c r="F55" s="12">
        <f>IF($C55="","",IFERROR(INDEX('Dépouillement'!$D$6:$D$65,MATCH($C55,'Dépouillement'!$A$6:$A$65,0)),"Séq. introuvable"))</f>
        <v/>
      </c>
      <c r="G55" s="13">
        <f>IF($C55="","",IFERROR(INDEX('Dépouillement'!$F$6:$F$65,MATCH($C55,'Dépouillement'!$A$6:$A$65,0)),"Séq. introuvable"))</f>
        <v/>
      </c>
      <c r="H55" s="14">
        <f>IF($C55="","",IF(AND(ISNUMBER(J54),B55=B54),J54+$H$3/1440,$E$3))</f>
        <v/>
      </c>
      <c r="I55" s="8" t="n"/>
      <c r="J55" s="14">
        <f>IF(OR(H55="",I55=""),"",H55+I55/1440)</f>
        <v/>
      </c>
      <c r="K55" s="8" t="n"/>
      <c r="L55" s="9" t="n"/>
    </row>
    <row r="56" ht="20" customHeight="1">
      <c r="A56" s="12">
        <f>IF($C56="","",COUNT($C$6:$C56))</f>
        <v/>
      </c>
      <c r="B56" s="8" t="n"/>
      <c r="C56" s="8" t="n"/>
      <c r="D56" s="13">
        <f>IF($C56="","",IFERROR(INDEX('Dépouillement'!$B$6:$B$65,MATCH($C56,'Dépouillement'!$A$6:$A$65,0)),"Séq. introuvable"))</f>
        <v/>
      </c>
      <c r="E56" s="12">
        <f>IF($C56="","",IFERROR(INDEX('Dépouillement'!$C$6:$C$65,MATCH($C56,'Dépouillement'!$A$6:$A$65,0)),"Séq. introuvable"))</f>
        <v/>
      </c>
      <c r="F56" s="12">
        <f>IF($C56="","",IFERROR(INDEX('Dépouillement'!$D$6:$D$65,MATCH($C56,'Dépouillement'!$A$6:$A$65,0)),"Séq. introuvable"))</f>
        <v/>
      </c>
      <c r="G56" s="13">
        <f>IF($C56="","",IFERROR(INDEX('Dépouillement'!$F$6:$F$65,MATCH($C56,'Dépouillement'!$A$6:$A$65,0)),"Séq. introuvable"))</f>
        <v/>
      </c>
      <c r="H56" s="14">
        <f>IF($C56="","",IF(AND(ISNUMBER(J55),B56=B55),J55+$H$3/1440,$E$3))</f>
        <v/>
      </c>
      <c r="I56" s="8" t="n"/>
      <c r="J56" s="14">
        <f>IF(OR(H56="",I56=""),"",H56+I56/1440)</f>
        <v/>
      </c>
      <c r="K56" s="8" t="n"/>
      <c r="L56" s="9" t="n"/>
    </row>
    <row r="57" ht="20" customHeight="1">
      <c r="A57" s="12">
        <f>IF($C57="","",COUNT($C$6:$C57))</f>
        <v/>
      </c>
      <c r="B57" s="8" t="n"/>
      <c r="C57" s="8" t="n"/>
      <c r="D57" s="13">
        <f>IF($C57="","",IFERROR(INDEX('Dépouillement'!$B$6:$B$65,MATCH($C57,'Dépouillement'!$A$6:$A$65,0)),"Séq. introuvable"))</f>
        <v/>
      </c>
      <c r="E57" s="12">
        <f>IF($C57="","",IFERROR(INDEX('Dépouillement'!$C$6:$C$65,MATCH($C57,'Dépouillement'!$A$6:$A$65,0)),"Séq. introuvable"))</f>
        <v/>
      </c>
      <c r="F57" s="12">
        <f>IF($C57="","",IFERROR(INDEX('Dépouillement'!$D$6:$D$65,MATCH($C57,'Dépouillement'!$A$6:$A$65,0)),"Séq. introuvable"))</f>
        <v/>
      </c>
      <c r="G57" s="13">
        <f>IF($C57="","",IFERROR(INDEX('Dépouillement'!$F$6:$F$65,MATCH($C57,'Dépouillement'!$A$6:$A$65,0)),"Séq. introuvable"))</f>
        <v/>
      </c>
      <c r="H57" s="14">
        <f>IF($C57="","",IF(AND(ISNUMBER(J56),B57=B56),J56+$H$3/1440,$E$3))</f>
        <v/>
      </c>
      <c r="I57" s="8" t="n"/>
      <c r="J57" s="14">
        <f>IF(OR(H57="",I57=""),"",H57+I57/1440)</f>
        <v/>
      </c>
      <c r="K57" s="8" t="n"/>
      <c r="L57" s="9" t="n"/>
    </row>
    <row r="58" ht="20" customHeight="1">
      <c r="A58" s="12">
        <f>IF($C58="","",COUNT($C$6:$C58))</f>
        <v/>
      </c>
      <c r="B58" s="8" t="n"/>
      <c r="C58" s="8" t="n"/>
      <c r="D58" s="13">
        <f>IF($C58="","",IFERROR(INDEX('Dépouillement'!$B$6:$B$65,MATCH($C58,'Dépouillement'!$A$6:$A$65,0)),"Séq. introuvable"))</f>
        <v/>
      </c>
      <c r="E58" s="12">
        <f>IF($C58="","",IFERROR(INDEX('Dépouillement'!$C$6:$C$65,MATCH($C58,'Dépouillement'!$A$6:$A$65,0)),"Séq. introuvable"))</f>
        <v/>
      </c>
      <c r="F58" s="12">
        <f>IF($C58="","",IFERROR(INDEX('Dépouillement'!$D$6:$D$65,MATCH($C58,'Dépouillement'!$A$6:$A$65,0)),"Séq. introuvable"))</f>
        <v/>
      </c>
      <c r="G58" s="13">
        <f>IF($C58="","",IFERROR(INDEX('Dépouillement'!$F$6:$F$65,MATCH($C58,'Dépouillement'!$A$6:$A$65,0)),"Séq. introuvable"))</f>
        <v/>
      </c>
      <c r="H58" s="14">
        <f>IF($C58="","",IF(AND(ISNUMBER(J57),B58=B57),J57+$H$3/1440,$E$3))</f>
        <v/>
      </c>
      <c r="I58" s="8" t="n"/>
      <c r="J58" s="14">
        <f>IF(OR(H58="",I58=""),"",H58+I58/1440)</f>
        <v/>
      </c>
      <c r="K58" s="8" t="n"/>
      <c r="L58" s="9" t="n"/>
    </row>
    <row r="59" ht="20" customHeight="1">
      <c r="A59" s="12">
        <f>IF($C59="","",COUNT($C$6:$C59))</f>
        <v/>
      </c>
      <c r="B59" s="8" t="n"/>
      <c r="C59" s="8" t="n"/>
      <c r="D59" s="13">
        <f>IF($C59="","",IFERROR(INDEX('Dépouillement'!$B$6:$B$65,MATCH($C59,'Dépouillement'!$A$6:$A$65,0)),"Séq. introuvable"))</f>
        <v/>
      </c>
      <c r="E59" s="12">
        <f>IF($C59="","",IFERROR(INDEX('Dépouillement'!$C$6:$C$65,MATCH($C59,'Dépouillement'!$A$6:$A$65,0)),"Séq. introuvable"))</f>
        <v/>
      </c>
      <c r="F59" s="12">
        <f>IF($C59="","",IFERROR(INDEX('Dépouillement'!$D$6:$D$65,MATCH($C59,'Dépouillement'!$A$6:$A$65,0)),"Séq. introuvable"))</f>
        <v/>
      </c>
      <c r="G59" s="13">
        <f>IF($C59="","",IFERROR(INDEX('Dépouillement'!$F$6:$F$65,MATCH($C59,'Dépouillement'!$A$6:$A$65,0)),"Séq. introuvable"))</f>
        <v/>
      </c>
      <c r="H59" s="14">
        <f>IF($C59="","",IF(AND(ISNUMBER(J58),B59=B58),J58+$H$3/1440,$E$3))</f>
        <v/>
      </c>
      <c r="I59" s="8" t="n"/>
      <c r="J59" s="14">
        <f>IF(OR(H59="",I59=""),"",H59+I59/1440)</f>
        <v/>
      </c>
      <c r="K59" s="8" t="n"/>
      <c r="L59" s="9" t="n"/>
    </row>
    <row r="60" ht="20" customHeight="1">
      <c r="A60" s="12">
        <f>IF($C60="","",COUNT($C$6:$C60))</f>
        <v/>
      </c>
      <c r="B60" s="8" t="n"/>
      <c r="C60" s="8" t="n"/>
      <c r="D60" s="13">
        <f>IF($C60="","",IFERROR(INDEX('Dépouillement'!$B$6:$B$65,MATCH($C60,'Dépouillement'!$A$6:$A$65,0)),"Séq. introuvable"))</f>
        <v/>
      </c>
      <c r="E60" s="12">
        <f>IF($C60="","",IFERROR(INDEX('Dépouillement'!$C$6:$C$65,MATCH($C60,'Dépouillement'!$A$6:$A$65,0)),"Séq. introuvable"))</f>
        <v/>
      </c>
      <c r="F60" s="12">
        <f>IF($C60="","",IFERROR(INDEX('Dépouillement'!$D$6:$D$65,MATCH($C60,'Dépouillement'!$A$6:$A$65,0)),"Séq. introuvable"))</f>
        <v/>
      </c>
      <c r="G60" s="13">
        <f>IF($C60="","",IFERROR(INDEX('Dépouillement'!$F$6:$F$65,MATCH($C60,'Dépouillement'!$A$6:$A$65,0)),"Séq. introuvable"))</f>
        <v/>
      </c>
      <c r="H60" s="14">
        <f>IF($C60="","",IF(AND(ISNUMBER(J59),B60=B59),J59+$H$3/1440,$E$3))</f>
        <v/>
      </c>
      <c r="I60" s="8" t="n"/>
      <c r="J60" s="14">
        <f>IF(OR(H60="",I60=""),"",H60+I60/1440)</f>
        <v/>
      </c>
      <c r="K60" s="8" t="n"/>
      <c r="L60" s="9" t="n"/>
    </row>
    <row r="61" ht="20" customHeight="1">
      <c r="A61" s="12">
        <f>IF($C61="","",COUNT($C$6:$C61))</f>
        <v/>
      </c>
      <c r="B61" s="8" t="n"/>
      <c r="C61" s="8" t="n"/>
      <c r="D61" s="13">
        <f>IF($C61="","",IFERROR(INDEX('Dépouillement'!$B$6:$B$65,MATCH($C61,'Dépouillement'!$A$6:$A$65,0)),"Séq. introuvable"))</f>
        <v/>
      </c>
      <c r="E61" s="12">
        <f>IF($C61="","",IFERROR(INDEX('Dépouillement'!$C$6:$C$65,MATCH($C61,'Dépouillement'!$A$6:$A$65,0)),"Séq. introuvable"))</f>
        <v/>
      </c>
      <c r="F61" s="12">
        <f>IF($C61="","",IFERROR(INDEX('Dépouillement'!$D$6:$D$65,MATCH($C61,'Dépouillement'!$A$6:$A$65,0)),"Séq. introuvable"))</f>
        <v/>
      </c>
      <c r="G61" s="13">
        <f>IF($C61="","",IFERROR(INDEX('Dépouillement'!$F$6:$F$65,MATCH($C61,'Dépouillement'!$A$6:$A$65,0)),"Séq. introuvable"))</f>
        <v/>
      </c>
      <c r="H61" s="14">
        <f>IF($C61="","",IF(AND(ISNUMBER(J60),B61=B60),J60+$H$3/1440,$E$3))</f>
        <v/>
      </c>
      <c r="I61" s="8" t="n"/>
      <c r="J61" s="14">
        <f>IF(OR(H61="",I61=""),"",H61+I61/1440)</f>
        <v/>
      </c>
      <c r="K61" s="8" t="n"/>
      <c r="L61" s="9" t="n"/>
    </row>
    <row r="62" ht="20" customHeight="1">
      <c r="A62" s="12">
        <f>IF($C62="","",COUNT($C$6:$C62))</f>
        <v/>
      </c>
      <c r="B62" s="8" t="n"/>
      <c r="C62" s="8" t="n"/>
      <c r="D62" s="13">
        <f>IF($C62="","",IFERROR(INDEX('Dépouillement'!$B$6:$B$65,MATCH($C62,'Dépouillement'!$A$6:$A$65,0)),"Séq. introuvable"))</f>
        <v/>
      </c>
      <c r="E62" s="12">
        <f>IF($C62="","",IFERROR(INDEX('Dépouillement'!$C$6:$C$65,MATCH($C62,'Dépouillement'!$A$6:$A$65,0)),"Séq. introuvable"))</f>
        <v/>
      </c>
      <c r="F62" s="12">
        <f>IF($C62="","",IFERROR(INDEX('Dépouillement'!$D$6:$D$65,MATCH($C62,'Dépouillement'!$A$6:$A$65,0)),"Séq. introuvable"))</f>
        <v/>
      </c>
      <c r="G62" s="13">
        <f>IF($C62="","",IFERROR(INDEX('Dépouillement'!$F$6:$F$65,MATCH($C62,'Dépouillement'!$A$6:$A$65,0)),"Séq. introuvable"))</f>
        <v/>
      </c>
      <c r="H62" s="14">
        <f>IF($C62="","",IF(AND(ISNUMBER(J61),B62=B61),J61+$H$3/1440,$E$3))</f>
        <v/>
      </c>
      <c r="I62" s="8" t="n"/>
      <c r="J62" s="14">
        <f>IF(OR(H62="",I62=""),"",H62+I62/1440)</f>
        <v/>
      </c>
      <c r="K62" s="8" t="n"/>
      <c r="L62" s="9" t="n"/>
    </row>
    <row r="63" ht="20" customHeight="1">
      <c r="A63" s="12">
        <f>IF($C63="","",COUNT($C$6:$C63))</f>
        <v/>
      </c>
      <c r="B63" s="8" t="n"/>
      <c r="C63" s="8" t="n"/>
      <c r="D63" s="13">
        <f>IF($C63="","",IFERROR(INDEX('Dépouillement'!$B$6:$B$65,MATCH($C63,'Dépouillement'!$A$6:$A$65,0)),"Séq. introuvable"))</f>
        <v/>
      </c>
      <c r="E63" s="12">
        <f>IF($C63="","",IFERROR(INDEX('Dépouillement'!$C$6:$C$65,MATCH($C63,'Dépouillement'!$A$6:$A$65,0)),"Séq. introuvable"))</f>
        <v/>
      </c>
      <c r="F63" s="12">
        <f>IF($C63="","",IFERROR(INDEX('Dépouillement'!$D$6:$D$65,MATCH($C63,'Dépouillement'!$A$6:$A$65,0)),"Séq. introuvable"))</f>
        <v/>
      </c>
      <c r="G63" s="13">
        <f>IF($C63="","",IFERROR(INDEX('Dépouillement'!$F$6:$F$65,MATCH($C63,'Dépouillement'!$A$6:$A$65,0)),"Séq. introuvable"))</f>
        <v/>
      </c>
      <c r="H63" s="14">
        <f>IF($C63="","",IF(AND(ISNUMBER(J62),B63=B62),J62+$H$3/1440,$E$3))</f>
        <v/>
      </c>
      <c r="I63" s="8" t="n"/>
      <c r="J63" s="14">
        <f>IF(OR(H63="",I63=""),"",H63+I63/1440)</f>
        <v/>
      </c>
      <c r="K63" s="8" t="n"/>
      <c r="L63" s="9" t="n"/>
    </row>
    <row r="64" ht="20" customHeight="1">
      <c r="A64" s="12">
        <f>IF($C64="","",COUNT($C$6:$C64))</f>
        <v/>
      </c>
      <c r="B64" s="8" t="n"/>
      <c r="C64" s="8" t="n"/>
      <c r="D64" s="13">
        <f>IF($C64="","",IFERROR(INDEX('Dépouillement'!$B$6:$B$65,MATCH($C64,'Dépouillement'!$A$6:$A$65,0)),"Séq. introuvable"))</f>
        <v/>
      </c>
      <c r="E64" s="12">
        <f>IF($C64="","",IFERROR(INDEX('Dépouillement'!$C$6:$C$65,MATCH($C64,'Dépouillement'!$A$6:$A$65,0)),"Séq. introuvable"))</f>
        <v/>
      </c>
      <c r="F64" s="12">
        <f>IF($C64="","",IFERROR(INDEX('Dépouillement'!$D$6:$D$65,MATCH($C64,'Dépouillement'!$A$6:$A$65,0)),"Séq. introuvable"))</f>
        <v/>
      </c>
      <c r="G64" s="13">
        <f>IF($C64="","",IFERROR(INDEX('Dépouillement'!$F$6:$F$65,MATCH($C64,'Dépouillement'!$A$6:$A$65,0)),"Séq. introuvable"))</f>
        <v/>
      </c>
      <c r="H64" s="14">
        <f>IF($C64="","",IF(AND(ISNUMBER(J63),B64=B63),J63+$H$3/1440,$E$3))</f>
        <v/>
      </c>
      <c r="I64" s="8" t="n"/>
      <c r="J64" s="14">
        <f>IF(OR(H64="",I64=""),"",H64+I64/1440)</f>
        <v/>
      </c>
      <c r="K64" s="8" t="n"/>
      <c r="L64" s="9" t="n"/>
    </row>
    <row r="65" ht="20" customHeight="1">
      <c r="A65" s="12">
        <f>IF($C65="","",COUNT($C$6:$C65))</f>
        <v/>
      </c>
      <c r="B65" s="8" t="n"/>
      <c r="C65" s="8" t="n"/>
      <c r="D65" s="13">
        <f>IF($C65="","",IFERROR(INDEX('Dépouillement'!$B$6:$B$65,MATCH($C65,'Dépouillement'!$A$6:$A$65,0)),"Séq. introuvable"))</f>
        <v/>
      </c>
      <c r="E65" s="12">
        <f>IF($C65="","",IFERROR(INDEX('Dépouillement'!$C$6:$C$65,MATCH($C65,'Dépouillement'!$A$6:$A$65,0)),"Séq. introuvable"))</f>
        <v/>
      </c>
      <c r="F65" s="12">
        <f>IF($C65="","",IFERROR(INDEX('Dépouillement'!$D$6:$D$65,MATCH($C65,'Dépouillement'!$A$6:$A$65,0)),"Séq. introuvable"))</f>
        <v/>
      </c>
      <c r="G65" s="13">
        <f>IF($C65="","",IFERROR(INDEX('Dépouillement'!$F$6:$F$65,MATCH($C65,'Dépouillement'!$A$6:$A$65,0)),"Séq. introuvable"))</f>
        <v/>
      </c>
      <c r="H65" s="14">
        <f>IF($C65="","",IF(AND(ISNUMBER(J64),B65=B64),J64+$H$3/1440,$E$3))</f>
        <v/>
      </c>
      <c r="I65" s="8" t="n"/>
      <c r="J65" s="14">
        <f>IF(OR(H65="",I65=""),"",H65+I65/1440)</f>
        <v/>
      </c>
      <c r="K65" s="8" t="n"/>
      <c r="L65" s="9" t="n"/>
    </row>
  </sheetData>
  <conditionalFormatting sqref="A6:L65">
    <cfRule type="expression" priority="1" dxfId="0">
      <formula>$K6="Tourné"</formula>
    </cfRule>
    <cfRule type="expression" priority="2" dxfId="1">
      <formula>$K6="En cours"</formula>
    </cfRule>
  </conditionalFormatting>
  <dataValidations count="1">
    <dataValidation sqref="K6:K65" showDropDown="0" showInputMessage="0" showErrorMessage="0" allowBlank="1" type="list">
      <formula1>"À tourner,En cours,Tourné,Reporté"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161616"/>
    <outlinePr summaryBelow="1" summaryRight="1"/>
    <pageSetUpPr fitToPage="1"/>
  </sheetPr>
  <dimension ref="A1:P4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8" customWidth="1" min="3" max="3"/>
    <col width="11" customWidth="1" min="4" max="4"/>
    <col width="14" customWidth="1" min="5" max="5"/>
    <col width="15" customWidth="1" min="6" max="6"/>
    <col width="15" customWidth="1" min="7" max="7"/>
    <col width="15" customWidth="1" min="8" max="8"/>
    <col width="12" customWidth="1" min="9" max="9"/>
    <col width="13" customWidth="1" min="10" max="10"/>
    <col width="26" customWidth="1" min="11" max="11"/>
    <col width="3" customWidth="1" min="12" max="12"/>
    <col width="24" customWidth="1" min="13" max="13"/>
    <col width="16" customWidth="1" min="14" max="14"/>
    <col width="16" customWidth="1" min="15" max="15"/>
    <col width="16" customWidth="1" min="16" max="16"/>
  </cols>
  <sheetData>
    <row r="1" ht="30" customHeight="1">
      <c r="A1" s="1" t="inlineStr">
        <is>
          <t>Gestion du budget</t>
        </is>
      </c>
    </row>
    <row r="2">
      <c r="A2" s="2" t="inlineStr">
        <is>
          <t>Saisis quantité, coût unitaire et dépense réelle : total prévu, écart et synthèse se calculent seuls. Les catégories (colonne M) sont modifiables. Lignes 6-7 = exemples.</t>
        </is>
      </c>
    </row>
    <row r="5" ht="32" customHeight="1">
      <c r="A5" s="7" t="inlineStr">
        <is>
          <t>Catégorie</t>
        </is>
      </c>
      <c r="B5" s="7" t="inlineStr">
        <is>
          <t>Poste / Description</t>
        </is>
      </c>
      <c r="C5" s="7" t="inlineStr">
        <is>
          <t>Qté</t>
        </is>
      </c>
      <c r="D5" s="7" t="inlineStr">
        <is>
          <t>Unité</t>
        </is>
      </c>
      <c r="E5" s="7" t="inlineStr">
        <is>
          <t>Coût unitaire</t>
        </is>
      </c>
      <c r="F5" s="7" t="inlineStr">
        <is>
          <t>Total prévu</t>
        </is>
      </c>
      <c r="G5" s="7" t="inlineStr">
        <is>
          <t>Dépensé réel</t>
        </is>
      </c>
      <c r="H5" s="7" t="inlineStr">
        <is>
          <t>Écart</t>
        </is>
      </c>
      <c r="I5" s="7" t="inlineStr">
        <is>
          <t>% consommé</t>
        </is>
      </c>
      <c r="J5" s="7" t="inlineStr">
        <is>
          <t>Statut</t>
        </is>
      </c>
      <c r="K5" s="7" t="inlineStr">
        <is>
          <t>Notes</t>
        </is>
      </c>
      <c r="M5" s="15" t="inlineStr">
        <is>
          <t>SYNTHÈSE</t>
        </is>
      </c>
      <c r="N5" s="16" t="n"/>
    </row>
    <row r="6" ht="20" customHeight="1">
      <c r="A6" s="9" t="inlineStr">
        <is>
          <t>Équipe</t>
        </is>
      </c>
      <c r="B6" s="9" t="inlineStr">
        <is>
          <t>Chef opérateur</t>
        </is>
      </c>
      <c r="C6" s="8" t="n">
        <v>2</v>
      </c>
      <c r="D6" s="8" t="inlineStr">
        <is>
          <t>jour</t>
        </is>
      </c>
      <c r="E6" s="17" t="n">
        <v>350</v>
      </c>
      <c r="F6" s="18">
        <f>IF(OR(C6="",E6=""),"",C6*E6)</f>
        <v/>
      </c>
      <c r="G6" s="17" t="n">
        <v>700</v>
      </c>
      <c r="H6" s="18">
        <f>IF(F6="","",F6-G6)</f>
        <v/>
      </c>
      <c r="I6" s="19">
        <f>IF(OR(F6="",F6=0,G6=""),"",G6/F6)</f>
        <v/>
      </c>
      <c r="J6" s="8" t="inlineStr">
        <is>
          <t>Payé</t>
        </is>
      </c>
      <c r="K6" s="9" t="inlineStr">
        <is>
          <t>Exemple – à remplacer</t>
        </is>
      </c>
      <c r="M6" s="3" t="inlineStr">
        <is>
          <t>Budget global (€)</t>
        </is>
      </c>
      <c r="N6" s="20" t="n">
        <v>5000</v>
      </c>
    </row>
    <row r="7" ht="20" customHeight="1">
      <c r="A7" s="9" t="inlineStr">
        <is>
          <t>Matériel</t>
        </is>
      </c>
      <c r="B7" s="9" t="inlineStr">
        <is>
          <t>Location caméra + optiques</t>
        </is>
      </c>
      <c r="C7" s="8" t="n">
        <v>1</v>
      </c>
      <c r="D7" s="8" t="inlineStr">
        <is>
          <t>forfait</t>
        </is>
      </c>
      <c r="E7" s="17" t="n">
        <v>400</v>
      </c>
      <c r="F7" s="18">
        <f>IF(OR(C7="",E7=""),"",C7*E7)</f>
        <v/>
      </c>
      <c r="G7" s="17" t="n">
        <v>380</v>
      </c>
      <c r="H7" s="18">
        <f>IF(F7="","",F7-G7)</f>
        <v/>
      </c>
      <c r="I7" s="19">
        <f>IF(OR(F7="",F7=0,G7=""),"",G7/F7)</f>
        <v/>
      </c>
      <c r="J7" s="8" t="inlineStr">
        <is>
          <t>Commandé</t>
        </is>
      </c>
      <c r="K7" s="9" t="inlineStr">
        <is>
          <t>Exemple – à remplacer</t>
        </is>
      </c>
      <c r="M7" s="3" t="inlineStr">
        <is>
          <t>Total prévu</t>
        </is>
      </c>
      <c r="N7" s="21">
        <f>F46</f>
        <v/>
      </c>
    </row>
    <row r="8" ht="20" customHeight="1">
      <c r="A8" s="9" t="n"/>
      <c r="B8" s="9" t="n"/>
      <c r="C8" s="8" t="n"/>
      <c r="D8" s="8" t="n"/>
      <c r="E8" s="17" t="n"/>
      <c r="F8" s="18">
        <f>IF(OR(C8="",E8=""),"",C8*E8)</f>
        <v/>
      </c>
      <c r="G8" s="17" t="n"/>
      <c r="H8" s="18">
        <f>IF(F8="","",F8-G8)</f>
        <v/>
      </c>
      <c r="I8" s="19">
        <f>IF(OR(F8="",F8=0,G8=""),"",G8/F8)</f>
        <v/>
      </c>
      <c r="J8" s="8" t="n"/>
      <c r="K8" s="9" t="n"/>
      <c r="M8" s="3" t="inlineStr">
        <is>
          <t>Total dépensé</t>
        </is>
      </c>
      <c r="N8" s="21">
        <f>G46</f>
        <v/>
      </c>
    </row>
    <row r="9" ht="20" customHeight="1">
      <c r="A9" s="9" t="n"/>
      <c r="B9" s="9" t="n"/>
      <c r="C9" s="8" t="n"/>
      <c r="D9" s="8" t="n"/>
      <c r="E9" s="17" t="n"/>
      <c r="F9" s="18">
        <f>IF(OR(C9="",E9=""),"",C9*E9)</f>
        <v/>
      </c>
      <c r="G9" s="17" t="n"/>
      <c r="H9" s="18">
        <f>IF(F9="","",F9-G9)</f>
        <v/>
      </c>
      <c r="I9" s="19">
        <f>IF(OR(F9="",F9=0,G9=""),"",G9/F9)</f>
        <v/>
      </c>
      <c r="J9" s="8" t="n"/>
      <c r="K9" s="9" t="n"/>
      <c r="M9" s="3" t="inlineStr">
        <is>
          <t>Reste (budget – dépensé)</t>
        </is>
      </c>
      <c r="N9" s="21">
        <f>N6-N8</f>
        <v/>
      </c>
    </row>
    <row r="10" ht="20" customHeight="1">
      <c r="A10" s="9" t="n"/>
      <c r="B10" s="9" t="n"/>
      <c r="C10" s="8" t="n"/>
      <c r="D10" s="8" t="n"/>
      <c r="E10" s="17" t="n"/>
      <c r="F10" s="18">
        <f>IF(OR(C10="",E10=""),"",C10*E10)</f>
        <v/>
      </c>
      <c r="G10" s="17" t="n"/>
      <c r="H10" s="18">
        <f>IF(F10="","",F10-G10)</f>
        <v/>
      </c>
      <c r="I10" s="19">
        <f>IF(OR(F10="",F10=0,G10=""),"",G10/F10)</f>
        <v/>
      </c>
      <c r="J10" s="8" t="n"/>
      <c r="K10" s="9" t="n"/>
      <c r="M10" s="3" t="inlineStr">
        <is>
          <t>Reste (budget – prévu)</t>
        </is>
      </c>
      <c r="N10" s="21">
        <f>N6-N7</f>
        <v/>
      </c>
    </row>
    <row r="11" ht="20" customHeight="1">
      <c r="A11" s="9" t="n"/>
      <c r="B11" s="9" t="n"/>
      <c r="C11" s="8" t="n"/>
      <c r="D11" s="8" t="n"/>
      <c r="E11" s="17" t="n"/>
      <c r="F11" s="18">
        <f>IF(OR(C11="",E11=""),"",C11*E11)</f>
        <v/>
      </c>
      <c r="G11" s="17" t="n"/>
      <c r="H11" s="18">
        <f>IF(F11="","",F11-G11)</f>
        <v/>
      </c>
      <c r="I11" s="19">
        <f>IF(OR(F11="",F11=0,G11=""),"",G11/F11)</f>
        <v/>
      </c>
      <c r="J11" s="8" t="n"/>
      <c r="K11" s="9" t="n"/>
      <c r="M11" s="3" t="inlineStr">
        <is>
          <t>Budget consommé</t>
        </is>
      </c>
      <c r="N11" s="22">
        <f>IF(N6=0,"",N8/N6)</f>
        <v/>
      </c>
    </row>
    <row r="12" ht="20" customHeight="1">
      <c r="A12" s="9" t="n"/>
      <c r="B12" s="9" t="n"/>
      <c r="C12" s="8" t="n"/>
      <c r="D12" s="8" t="n"/>
      <c r="E12" s="17" t="n"/>
      <c r="F12" s="18">
        <f>IF(OR(C12="",E12=""),"",C12*E12)</f>
        <v/>
      </c>
      <c r="G12" s="17" t="n"/>
      <c r="H12" s="18">
        <f>IF(F12="","",F12-G12)</f>
        <v/>
      </c>
      <c r="I12" s="19">
        <f>IF(OR(F12="",F12=0,G12=""),"",G12/F12)</f>
        <v/>
      </c>
      <c r="J12" s="8" t="n"/>
      <c r="K12" s="9" t="n"/>
    </row>
    <row r="13" ht="20" customHeight="1">
      <c r="A13" s="9" t="n"/>
      <c r="B13" s="9" t="n"/>
      <c r="C13" s="8" t="n"/>
      <c r="D13" s="8" t="n"/>
      <c r="E13" s="17" t="n"/>
      <c r="F13" s="18">
        <f>IF(OR(C13="",E13=""),"",C13*E13)</f>
        <v/>
      </c>
      <c r="G13" s="17" t="n"/>
      <c r="H13" s="18">
        <f>IF(F13="","",F13-G13)</f>
        <v/>
      </c>
      <c r="I13" s="19">
        <f>IF(OR(F13="",F13=0,G13=""),"",G13/F13)</f>
        <v/>
      </c>
      <c r="J13" s="8" t="n"/>
      <c r="K13" s="9" t="n"/>
      <c r="M13" s="23" t="inlineStr">
        <is>
          <t>Catégorie</t>
        </is>
      </c>
      <c r="N13" s="23" t="inlineStr">
        <is>
          <t>Prévu</t>
        </is>
      </c>
      <c r="O13" s="23" t="inlineStr">
        <is>
          <t>Dépensé</t>
        </is>
      </c>
      <c r="P13" s="23" t="inlineStr">
        <is>
          <t>Écart</t>
        </is>
      </c>
    </row>
    <row r="14" ht="20" customHeight="1">
      <c r="A14" s="9" t="n"/>
      <c r="B14" s="9" t="n"/>
      <c r="C14" s="8" t="n"/>
      <c r="D14" s="8" t="n"/>
      <c r="E14" s="17" t="n"/>
      <c r="F14" s="18">
        <f>IF(OR(C14="",E14=""),"",C14*E14)</f>
        <v/>
      </c>
      <c r="G14" s="17" t="n"/>
      <c r="H14" s="18">
        <f>IF(F14="","",F14-G14)</f>
        <v/>
      </c>
      <c r="I14" s="19">
        <f>IF(OR(F14="",F14=0,G14=""),"",G14/F14)</f>
        <v/>
      </c>
      <c r="J14" s="8" t="n"/>
      <c r="K14" s="9" t="n"/>
      <c r="M14" s="24" t="inlineStr">
        <is>
          <t>Équipe</t>
        </is>
      </c>
      <c r="N14" s="25">
        <f>SUMIF($A$6:$A$45,$M14,$F$6:$F$45)</f>
        <v/>
      </c>
      <c r="O14" s="25">
        <f>SUMIF($A$6:$A$45,$M14,$G$6:$G$45)</f>
        <v/>
      </c>
      <c r="P14" s="25">
        <f>N14-O14</f>
        <v/>
      </c>
    </row>
    <row r="15" ht="20" customHeight="1">
      <c r="A15" s="9" t="n"/>
      <c r="B15" s="9" t="n"/>
      <c r="C15" s="8" t="n"/>
      <c r="D15" s="8" t="n"/>
      <c r="E15" s="17" t="n"/>
      <c r="F15" s="18">
        <f>IF(OR(C15="",E15=""),"",C15*E15)</f>
        <v/>
      </c>
      <c r="G15" s="17" t="n"/>
      <c r="H15" s="18">
        <f>IF(F15="","",F15-G15)</f>
        <v/>
      </c>
      <c r="I15" s="19">
        <f>IF(OR(F15="",F15=0,G15=""),"",G15/F15)</f>
        <v/>
      </c>
      <c r="J15" s="8" t="n"/>
      <c r="K15" s="9" t="n"/>
      <c r="M15" s="24" t="inlineStr">
        <is>
          <t>Casting</t>
        </is>
      </c>
      <c r="N15" s="25">
        <f>SUMIF($A$6:$A$45,$M15,$F$6:$F$45)</f>
        <v/>
      </c>
      <c r="O15" s="25">
        <f>SUMIF($A$6:$A$45,$M15,$G$6:$G$45)</f>
        <v/>
      </c>
      <c r="P15" s="25">
        <f>N15-O15</f>
        <v/>
      </c>
    </row>
    <row r="16" ht="20" customHeight="1">
      <c r="A16" s="9" t="n"/>
      <c r="B16" s="9" t="n"/>
      <c r="C16" s="8" t="n"/>
      <c r="D16" s="8" t="n"/>
      <c r="E16" s="17" t="n"/>
      <c r="F16" s="18">
        <f>IF(OR(C16="",E16=""),"",C16*E16)</f>
        <v/>
      </c>
      <c r="G16" s="17" t="n"/>
      <c r="H16" s="18">
        <f>IF(F16="","",F16-G16)</f>
        <v/>
      </c>
      <c r="I16" s="19">
        <f>IF(OR(F16="",F16=0,G16=""),"",G16/F16)</f>
        <v/>
      </c>
      <c r="J16" s="8" t="n"/>
      <c r="K16" s="9" t="n"/>
      <c r="M16" s="24" t="inlineStr">
        <is>
          <t>Matériel</t>
        </is>
      </c>
      <c r="N16" s="25">
        <f>SUMIF($A$6:$A$45,$M16,$F$6:$F$45)</f>
        <v/>
      </c>
      <c r="O16" s="25">
        <f>SUMIF($A$6:$A$45,$M16,$G$6:$G$45)</f>
        <v/>
      </c>
      <c r="P16" s="25">
        <f>N16-O16</f>
        <v/>
      </c>
    </row>
    <row r="17" ht="20" customHeight="1">
      <c r="A17" s="9" t="n"/>
      <c r="B17" s="9" t="n"/>
      <c r="C17" s="8" t="n"/>
      <c r="D17" s="8" t="n"/>
      <c r="E17" s="17" t="n"/>
      <c r="F17" s="18">
        <f>IF(OR(C17="",E17=""),"",C17*E17)</f>
        <v/>
      </c>
      <c r="G17" s="17" t="n"/>
      <c r="H17" s="18">
        <f>IF(F17="","",F17-G17)</f>
        <v/>
      </c>
      <c r="I17" s="19">
        <f>IF(OR(F17="",F17=0,G17=""),"",G17/F17)</f>
        <v/>
      </c>
      <c r="J17" s="8" t="n"/>
      <c r="K17" s="9" t="n"/>
      <c r="M17" s="24" t="inlineStr">
        <is>
          <t>Décors &amp; Lieux</t>
        </is>
      </c>
      <c r="N17" s="25">
        <f>SUMIF($A$6:$A$45,$M17,$F$6:$F$45)</f>
        <v/>
      </c>
      <c r="O17" s="25">
        <f>SUMIF($A$6:$A$45,$M17,$G$6:$G$45)</f>
        <v/>
      </c>
      <c r="P17" s="25">
        <f>N17-O17</f>
        <v/>
      </c>
    </row>
    <row r="18" ht="20" customHeight="1">
      <c r="A18" s="9" t="n"/>
      <c r="B18" s="9" t="n"/>
      <c r="C18" s="8" t="n"/>
      <c r="D18" s="8" t="n"/>
      <c r="E18" s="17" t="n"/>
      <c r="F18" s="18">
        <f>IF(OR(C18="",E18=""),"",C18*E18)</f>
        <v/>
      </c>
      <c r="G18" s="17" t="n"/>
      <c r="H18" s="18">
        <f>IF(F18="","",F18-G18)</f>
        <v/>
      </c>
      <c r="I18" s="19">
        <f>IF(OR(F18="",F18=0,G18=""),"",G18/F18)</f>
        <v/>
      </c>
      <c r="J18" s="8" t="n"/>
      <c r="K18" s="9" t="n"/>
      <c r="M18" s="24" t="inlineStr">
        <is>
          <t>Costumes &amp; Maquillage</t>
        </is>
      </c>
      <c r="N18" s="25">
        <f>SUMIF($A$6:$A$45,$M18,$F$6:$F$45)</f>
        <v/>
      </c>
      <c r="O18" s="25">
        <f>SUMIF($A$6:$A$45,$M18,$G$6:$G$45)</f>
        <v/>
      </c>
      <c r="P18" s="25">
        <f>N18-O18</f>
        <v/>
      </c>
    </row>
    <row r="19" ht="20" customHeight="1">
      <c r="A19" s="9" t="n"/>
      <c r="B19" s="9" t="n"/>
      <c r="C19" s="8" t="n"/>
      <c r="D19" s="8" t="n"/>
      <c r="E19" s="17" t="n"/>
      <c r="F19" s="18">
        <f>IF(OR(C19="",E19=""),"",C19*E19)</f>
        <v/>
      </c>
      <c r="G19" s="17" t="n"/>
      <c r="H19" s="18">
        <f>IF(F19="","",F19-G19)</f>
        <v/>
      </c>
      <c r="I19" s="19">
        <f>IF(OR(F19="",F19=0,G19=""),"",G19/F19)</f>
        <v/>
      </c>
      <c r="J19" s="8" t="n"/>
      <c r="K19" s="9" t="n"/>
      <c r="M19" s="24" t="inlineStr">
        <is>
          <t>Transport</t>
        </is>
      </c>
      <c r="N19" s="25">
        <f>SUMIF($A$6:$A$45,$M19,$F$6:$F$45)</f>
        <v/>
      </c>
      <c r="O19" s="25">
        <f>SUMIF($A$6:$A$45,$M19,$G$6:$G$45)</f>
        <v/>
      </c>
      <c r="P19" s="25">
        <f>N19-O19</f>
        <v/>
      </c>
    </row>
    <row r="20" ht="20" customHeight="1">
      <c r="A20" s="9" t="n"/>
      <c r="B20" s="9" t="n"/>
      <c r="C20" s="8" t="n"/>
      <c r="D20" s="8" t="n"/>
      <c r="E20" s="17" t="n"/>
      <c r="F20" s="18">
        <f>IF(OR(C20="",E20=""),"",C20*E20)</f>
        <v/>
      </c>
      <c r="G20" s="17" t="n"/>
      <c r="H20" s="18">
        <f>IF(F20="","",F20-G20)</f>
        <v/>
      </c>
      <c r="I20" s="19">
        <f>IF(OR(F20="",F20=0,G20=""),"",G20/F20)</f>
        <v/>
      </c>
      <c r="J20" s="8" t="n"/>
      <c r="K20" s="9" t="n"/>
      <c r="M20" s="24" t="inlineStr">
        <is>
          <t>Repas</t>
        </is>
      </c>
      <c r="N20" s="25">
        <f>SUMIF($A$6:$A$45,$M20,$F$6:$F$45)</f>
        <v/>
      </c>
      <c r="O20" s="25">
        <f>SUMIF($A$6:$A$45,$M20,$G$6:$G$45)</f>
        <v/>
      </c>
      <c r="P20" s="25">
        <f>N20-O20</f>
        <v/>
      </c>
    </row>
    <row r="21" ht="20" customHeight="1">
      <c r="A21" s="9" t="n"/>
      <c r="B21" s="9" t="n"/>
      <c r="C21" s="8" t="n"/>
      <c r="D21" s="8" t="n"/>
      <c r="E21" s="17" t="n"/>
      <c r="F21" s="18">
        <f>IF(OR(C21="",E21=""),"",C21*E21)</f>
        <v/>
      </c>
      <c r="G21" s="17" t="n"/>
      <c r="H21" s="18">
        <f>IF(F21="","",F21-G21)</f>
        <v/>
      </c>
      <c r="I21" s="19">
        <f>IF(OR(F21="",F21=0,G21=""),"",G21/F21)</f>
        <v/>
      </c>
      <c r="J21" s="8" t="n"/>
      <c r="K21" s="9" t="n"/>
      <c r="M21" s="24" t="inlineStr">
        <is>
          <t>Post-production</t>
        </is>
      </c>
      <c r="N21" s="25">
        <f>SUMIF($A$6:$A$45,$M21,$F$6:$F$45)</f>
        <v/>
      </c>
      <c r="O21" s="25">
        <f>SUMIF($A$6:$A$45,$M21,$G$6:$G$45)</f>
        <v/>
      </c>
      <c r="P21" s="25">
        <f>N21-O21</f>
        <v/>
      </c>
    </row>
    <row r="22" ht="20" customHeight="1">
      <c r="A22" s="9" t="n"/>
      <c r="B22" s="9" t="n"/>
      <c r="C22" s="8" t="n"/>
      <c r="D22" s="8" t="n"/>
      <c r="E22" s="17" t="n"/>
      <c r="F22" s="18">
        <f>IF(OR(C22="",E22=""),"",C22*E22)</f>
        <v/>
      </c>
      <c r="G22" s="17" t="n"/>
      <c r="H22" s="18">
        <f>IF(F22="","",F22-G22)</f>
        <v/>
      </c>
      <c r="I22" s="19">
        <f>IF(OR(F22="",F22=0,G22=""),"",G22/F22)</f>
        <v/>
      </c>
      <c r="J22" s="8" t="n"/>
      <c r="K22" s="9" t="n"/>
      <c r="M22" s="24" t="inlineStr">
        <is>
          <t>Assurance &amp; Admin</t>
        </is>
      </c>
      <c r="N22" s="25">
        <f>SUMIF($A$6:$A$45,$M22,$F$6:$F$45)</f>
        <v/>
      </c>
      <c r="O22" s="25">
        <f>SUMIF($A$6:$A$45,$M22,$G$6:$G$45)</f>
        <v/>
      </c>
      <c r="P22" s="25">
        <f>N22-O22</f>
        <v/>
      </c>
    </row>
    <row r="23" ht="20" customHeight="1">
      <c r="A23" s="9" t="n"/>
      <c r="B23" s="9" t="n"/>
      <c r="C23" s="8" t="n"/>
      <c r="D23" s="8" t="n"/>
      <c r="E23" s="17" t="n"/>
      <c r="F23" s="18">
        <f>IF(OR(C23="",E23=""),"",C23*E23)</f>
        <v/>
      </c>
      <c r="G23" s="17" t="n"/>
      <c r="H23" s="18">
        <f>IF(F23="","",F23-G23)</f>
        <v/>
      </c>
      <c r="I23" s="19">
        <f>IF(OR(F23="",F23=0,G23=""),"",G23/F23)</f>
        <v/>
      </c>
      <c r="J23" s="8" t="n"/>
      <c r="K23" s="9" t="n"/>
      <c r="M23" s="24" t="inlineStr">
        <is>
          <t>Divers</t>
        </is>
      </c>
      <c r="N23" s="25">
        <f>SUMIF($A$6:$A$45,$M23,$F$6:$F$45)</f>
        <v/>
      </c>
      <c r="O23" s="25">
        <f>SUMIF($A$6:$A$45,$M23,$G$6:$G$45)</f>
        <v/>
      </c>
      <c r="P23" s="25">
        <f>N23-O23</f>
        <v/>
      </c>
    </row>
    <row r="24" ht="20" customHeight="1">
      <c r="A24" s="9" t="n"/>
      <c r="B24" s="9" t="n"/>
      <c r="C24" s="8" t="n"/>
      <c r="D24" s="8" t="n"/>
      <c r="E24" s="17" t="n"/>
      <c r="F24" s="18">
        <f>IF(OR(C24="",E24=""),"",C24*E24)</f>
        <v/>
      </c>
      <c r="G24" s="17" t="n"/>
      <c r="H24" s="18">
        <f>IF(F24="","",F24-G24)</f>
        <v/>
      </c>
      <c r="I24" s="19">
        <f>IF(OR(F24="",F24=0,G24=""),"",G24/F24)</f>
        <v/>
      </c>
      <c r="J24" s="8" t="n"/>
      <c r="K24" s="9" t="n"/>
      <c r="M24" s="26" t="inlineStr">
        <is>
          <t>TOTAL</t>
        </is>
      </c>
      <c r="N24" s="27">
        <f>SUM(N14:N23)</f>
        <v/>
      </c>
      <c r="O24" s="27">
        <f>SUM(O14:O23)</f>
        <v/>
      </c>
      <c r="P24" s="27">
        <f>SUM(P14:P23)</f>
        <v/>
      </c>
    </row>
    <row r="25" ht="20" customHeight="1">
      <c r="A25" s="9" t="n"/>
      <c r="B25" s="9" t="n"/>
      <c r="C25" s="8" t="n"/>
      <c r="D25" s="8" t="n"/>
      <c r="E25" s="17" t="n"/>
      <c r="F25" s="18">
        <f>IF(OR(C25="",E25=""),"",C25*E25)</f>
        <v/>
      </c>
      <c r="G25" s="17" t="n"/>
      <c r="H25" s="18">
        <f>IF(F25="","",F25-G25)</f>
        <v/>
      </c>
      <c r="I25" s="19">
        <f>IF(OR(F25="",F25=0,G25=""),"",G25/F25)</f>
        <v/>
      </c>
      <c r="J25" s="8" t="n"/>
      <c r="K25" s="9" t="n"/>
    </row>
    <row r="26" ht="20" customHeight="1">
      <c r="A26" s="9" t="n"/>
      <c r="B26" s="9" t="n"/>
      <c r="C26" s="8" t="n"/>
      <c r="D26" s="8" t="n"/>
      <c r="E26" s="17" t="n"/>
      <c r="F26" s="18">
        <f>IF(OR(C26="",E26=""),"",C26*E26)</f>
        <v/>
      </c>
      <c r="G26" s="17" t="n"/>
      <c r="H26" s="18">
        <f>IF(F26="","",F26-G26)</f>
        <v/>
      </c>
      <c r="I26" s="19">
        <f>IF(OR(F26="",F26=0,G26=""),"",G26/F26)</f>
        <v/>
      </c>
      <c r="J26" s="8" t="n"/>
      <c r="K26" s="9" t="n"/>
    </row>
    <row r="27" ht="20" customHeight="1">
      <c r="A27" s="9" t="n"/>
      <c r="B27" s="9" t="n"/>
      <c r="C27" s="8" t="n"/>
      <c r="D27" s="8" t="n"/>
      <c r="E27" s="17" t="n"/>
      <c r="F27" s="18">
        <f>IF(OR(C27="",E27=""),"",C27*E27)</f>
        <v/>
      </c>
      <c r="G27" s="17" t="n"/>
      <c r="H27" s="18">
        <f>IF(F27="","",F27-G27)</f>
        <v/>
      </c>
      <c r="I27" s="19">
        <f>IF(OR(F27="",F27=0,G27=""),"",G27/F27)</f>
        <v/>
      </c>
      <c r="J27" s="8" t="n"/>
      <c r="K27" s="9" t="n"/>
    </row>
    <row r="28" ht="20" customHeight="1">
      <c r="A28" s="9" t="n"/>
      <c r="B28" s="9" t="n"/>
      <c r="C28" s="8" t="n"/>
      <c r="D28" s="8" t="n"/>
      <c r="E28" s="17" t="n"/>
      <c r="F28" s="18">
        <f>IF(OR(C28="",E28=""),"",C28*E28)</f>
        <v/>
      </c>
      <c r="G28" s="17" t="n"/>
      <c r="H28" s="18">
        <f>IF(F28="","",F28-G28)</f>
        <v/>
      </c>
      <c r="I28" s="19">
        <f>IF(OR(F28="",F28=0,G28=""),"",G28/F28)</f>
        <v/>
      </c>
      <c r="J28" s="8" t="n"/>
      <c r="K28" s="9" t="n"/>
    </row>
    <row r="29" ht="20" customHeight="1">
      <c r="A29" s="9" t="n"/>
      <c r="B29" s="9" t="n"/>
      <c r="C29" s="8" t="n"/>
      <c r="D29" s="8" t="n"/>
      <c r="E29" s="17" t="n"/>
      <c r="F29" s="18">
        <f>IF(OR(C29="",E29=""),"",C29*E29)</f>
        <v/>
      </c>
      <c r="G29" s="17" t="n"/>
      <c r="H29" s="18">
        <f>IF(F29="","",F29-G29)</f>
        <v/>
      </c>
      <c r="I29" s="19">
        <f>IF(OR(F29="",F29=0,G29=""),"",G29/F29)</f>
        <v/>
      </c>
      <c r="J29" s="8" t="n"/>
      <c r="K29" s="9" t="n"/>
    </row>
    <row r="30" ht="20" customHeight="1">
      <c r="A30" s="9" t="n"/>
      <c r="B30" s="9" t="n"/>
      <c r="C30" s="8" t="n"/>
      <c r="D30" s="8" t="n"/>
      <c r="E30" s="17" t="n"/>
      <c r="F30" s="18">
        <f>IF(OR(C30="",E30=""),"",C30*E30)</f>
        <v/>
      </c>
      <c r="G30" s="17" t="n"/>
      <c r="H30" s="18">
        <f>IF(F30="","",F30-G30)</f>
        <v/>
      </c>
      <c r="I30" s="19">
        <f>IF(OR(F30="",F30=0,G30=""),"",G30/F30)</f>
        <v/>
      </c>
      <c r="J30" s="8" t="n"/>
      <c r="K30" s="9" t="n"/>
    </row>
    <row r="31" ht="20" customHeight="1">
      <c r="A31" s="9" t="n"/>
      <c r="B31" s="9" t="n"/>
      <c r="C31" s="8" t="n"/>
      <c r="D31" s="8" t="n"/>
      <c r="E31" s="17" t="n"/>
      <c r="F31" s="18">
        <f>IF(OR(C31="",E31=""),"",C31*E31)</f>
        <v/>
      </c>
      <c r="G31" s="17" t="n"/>
      <c r="H31" s="18">
        <f>IF(F31="","",F31-G31)</f>
        <v/>
      </c>
      <c r="I31" s="19">
        <f>IF(OR(F31="",F31=0,G31=""),"",G31/F31)</f>
        <v/>
      </c>
      <c r="J31" s="8" t="n"/>
      <c r="K31" s="9" t="n"/>
    </row>
    <row r="32" ht="20" customHeight="1">
      <c r="A32" s="9" t="n"/>
      <c r="B32" s="9" t="n"/>
      <c r="C32" s="8" t="n"/>
      <c r="D32" s="8" t="n"/>
      <c r="E32" s="17" t="n"/>
      <c r="F32" s="18">
        <f>IF(OR(C32="",E32=""),"",C32*E32)</f>
        <v/>
      </c>
      <c r="G32" s="17" t="n"/>
      <c r="H32" s="18">
        <f>IF(F32="","",F32-G32)</f>
        <v/>
      </c>
      <c r="I32" s="19">
        <f>IF(OR(F32="",F32=0,G32=""),"",G32/F32)</f>
        <v/>
      </c>
      <c r="J32" s="8" t="n"/>
      <c r="K32" s="9" t="n"/>
    </row>
    <row r="33" ht="20" customHeight="1">
      <c r="A33" s="9" t="n"/>
      <c r="B33" s="9" t="n"/>
      <c r="C33" s="8" t="n"/>
      <c r="D33" s="8" t="n"/>
      <c r="E33" s="17" t="n"/>
      <c r="F33" s="18">
        <f>IF(OR(C33="",E33=""),"",C33*E33)</f>
        <v/>
      </c>
      <c r="G33" s="17" t="n"/>
      <c r="H33" s="18">
        <f>IF(F33="","",F33-G33)</f>
        <v/>
      </c>
      <c r="I33" s="19">
        <f>IF(OR(F33="",F33=0,G33=""),"",G33/F33)</f>
        <v/>
      </c>
      <c r="J33" s="8" t="n"/>
      <c r="K33" s="9" t="n"/>
    </row>
    <row r="34" ht="20" customHeight="1">
      <c r="A34" s="9" t="n"/>
      <c r="B34" s="9" t="n"/>
      <c r="C34" s="8" t="n"/>
      <c r="D34" s="8" t="n"/>
      <c r="E34" s="17" t="n"/>
      <c r="F34" s="18">
        <f>IF(OR(C34="",E34=""),"",C34*E34)</f>
        <v/>
      </c>
      <c r="G34" s="17" t="n"/>
      <c r="H34" s="18">
        <f>IF(F34="","",F34-G34)</f>
        <v/>
      </c>
      <c r="I34" s="19">
        <f>IF(OR(F34="",F34=0,G34=""),"",G34/F34)</f>
        <v/>
      </c>
      <c r="J34" s="8" t="n"/>
      <c r="K34" s="9" t="n"/>
    </row>
    <row r="35" ht="20" customHeight="1">
      <c r="A35" s="9" t="n"/>
      <c r="B35" s="9" t="n"/>
      <c r="C35" s="8" t="n"/>
      <c r="D35" s="8" t="n"/>
      <c r="E35" s="17" t="n"/>
      <c r="F35" s="18">
        <f>IF(OR(C35="",E35=""),"",C35*E35)</f>
        <v/>
      </c>
      <c r="G35" s="17" t="n"/>
      <c r="H35" s="18">
        <f>IF(F35="","",F35-G35)</f>
        <v/>
      </c>
      <c r="I35" s="19">
        <f>IF(OR(F35="",F35=0,G35=""),"",G35/F35)</f>
        <v/>
      </c>
      <c r="J35" s="8" t="n"/>
      <c r="K35" s="9" t="n"/>
    </row>
    <row r="36" ht="20" customHeight="1">
      <c r="A36" s="9" t="n"/>
      <c r="B36" s="9" t="n"/>
      <c r="C36" s="8" t="n"/>
      <c r="D36" s="8" t="n"/>
      <c r="E36" s="17" t="n"/>
      <c r="F36" s="18">
        <f>IF(OR(C36="",E36=""),"",C36*E36)</f>
        <v/>
      </c>
      <c r="G36" s="17" t="n"/>
      <c r="H36" s="18">
        <f>IF(F36="","",F36-G36)</f>
        <v/>
      </c>
      <c r="I36" s="19">
        <f>IF(OR(F36="",F36=0,G36=""),"",G36/F36)</f>
        <v/>
      </c>
      <c r="J36" s="8" t="n"/>
      <c r="K36" s="9" t="n"/>
    </row>
    <row r="37" ht="20" customHeight="1">
      <c r="A37" s="9" t="n"/>
      <c r="B37" s="9" t="n"/>
      <c r="C37" s="8" t="n"/>
      <c r="D37" s="8" t="n"/>
      <c r="E37" s="17" t="n"/>
      <c r="F37" s="18">
        <f>IF(OR(C37="",E37=""),"",C37*E37)</f>
        <v/>
      </c>
      <c r="G37" s="17" t="n"/>
      <c r="H37" s="18">
        <f>IF(F37="","",F37-G37)</f>
        <v/>
      </c>
      <c r="I37" s="19">
        <f>IF(OR(F37="",F37=0,G37=""),"",G37/F37)</f>
        <v/>
      </c>
      <c r="J37" s="8" t="n"/>
      <c r="K37" s="9" t="n"/>
    </row>
    <row r="38" ht="20" customHeight="1">
      <c r="A38" s="9" t="n"/>
      <c r="B38" s="9" t="n"/>
      <c r="C38" s="8" t="n"/>
      <c r="D38" s="8" t="n"/>
      <c r="E38" s="17" t="n"/>
      <c r="F38" s="18">
        <f>IF(OR(C38="",E38=""),"",C38*E38)</f>
        <v/>
      </c>
      <c r="G38" s="17" t="n"/>
      <c r="H38" s="18">
        <f>IF(F38="","",F38-G38)</f>
        <v/>
      </c>
      <c r="I38" s="19">
        <f>IF(OR(F38="",F38=0,G38=""),"",G38/F38)</f>
        <v/>
      </c>
      <c r="J38" s="8" t="n"/>
      <c r="K38" s="9" t="n"/>
    </row>
    <row r="39" ht="20" customHeight="1">
      <c r="A39" s="9" t="n"/>
      <c r="B39" s="9" t="n"/>
      <c r="C39" s="8" t="n"/>
      <c r="D39" s="8" t="n"/>
      <c r="E39" s="17" t="n"/>
      <c r="F39" s="18">
        <f>IF(OR(C39="",E39=""),"",C39*E39)</f>
        <v/>
      </c>
      <c r="G39" s="17" t="n"/>
      <c r="H39" s="18">
        <f>IF(F39="","",F39-G39)</f>
        <v/>
      </c>
      <c r="I39" s="19">
        <f>IF(OR(F39="",F39=0,G39=""),"",G39/F39)</f>
        <v/>
      </c>
      <c r="J39" s="8" t="n"/>
      <c r="K39" s="9" t="n"/>
    </row>
    <row r="40" ht="20" customHeight="1">
      <c r="A40" s="9" t="n"/>
      <c r="B40" s="9" t="n"/>
      <c r="C40" s="8" t="n"/>
      <c r="D40" s="8" t="n"/>
      <c r="E40" s="17" t="n"/>
      <c r="F40" s="18">
        <f>IF(OR(C40="",E40=""),"",C40*E40)</f>
        <v/>
      </c>
      <c r="G40" s="17" t="n"/>
      <c r="H40" s="18">
        <f>IF(F40="","",F40-G40)</f>
        <v/>
      </c>
      <c r="I40" s="19">
        <f>IF(OR(F40="",F40=0,G40=""),"",G40/F40)</f>
        <v/>
      </c>
      <c r="J40" s="8" t="n"/>
      <c r="K40" s="9" t="n"/>
    </row>
    <row r="41" ht="20" customHeight="1">
      <c r="A41" s="9" t="n"/>
      <c r="B41" s="9" t="n"/>
      <c r="C41" s="8" t="n"/>
      <c r="D41" s="8" t="n"/>
      <c r="E41" s="17" t="n"/>
      <c r="F41" s="18">
        <f>IF(OR(C41="",E41=""),"",C41*E41)</f>
        <v/>
      </c>
      <c r="G41" s="17" t="n"/>
      <c r="H41" s="18">
        <f>IF(F41="","",F41-G41)</f>
        <v/>
      </c>
      <c r="I41" s="19">
        <f>IF(OR(F41="",F41=0,G41=""),"",G41/F41)</f>
        <v/>
      </c>
      <c r="J41" s="8" t="n"/>
      <c r="K41" s="9" t="n"/>
    </row>
    <row r="42" ht="20" customHeight="1">
      <c r="A42" s="9" t="n"/>
      <c r="B42" s="9" t="n"/>
      <c r="C42" s="8" t="n"/>
      <c r="D42" s="8" t="n"/>
      <c r="E42" s="17" t="n"/>
      <c r="F42" s="18">
        <f>IF(OR(C42="",E42=""),"",C42*E42)</f>
        <v/>
      </c>
      <c r="G42" s="17" t="n"/>
      <c r="H42" s="18">
        <f>IF(F42="","",F42-G42)</f>
        <v/>
      </c>
      <c r="I42" s="19">
        <f>IF(OR(F42="",F42=0,G42=""),"",G42/F42)</f>
        <v/>
      </c>
      <c r="J42" s="8" t="n"/>
      <c r="K42" s="9" t="n"/>
    </row>
    <row r="43" ht="20" customHeight="1">
      <c r="A43" s="9" t="n"/>
      <c r="B43" s="9" t="n"/>
      <c r="C43" s="8" t="n"/>
      <c r="D43" s="8" t="n"/>
      <c r="E43" s="17" t="n"/>
      <c r="F43" s="18">
        <f>IF(OR(C43="",E43=""),"",C43*E43)</f>
        <v/>
      </c>
      <c r="G43" s="17" t="n"/>
      <c r="H43" s="18">
        <f>IF(F43="","",F43-G43)</f>
        <v/>
      </c>
      <c r="I43" s="19">
        <f>IF(OR(F43="",F43=0,G43=""),"",G43/F43)</f>
        <v/>
      </c>
      <c r="J43" s="8" t="n"/>
      <c r="K43" s="9" t="n"/>
    </row>
    <row r="44" ht="20" customHeight="1">
      <c r="A44" s="9" t="n"/>
      <c r="B44" s="9" t="n"/>
      <c r="C44" s="8" t="n"/>
      <c r="D44" s="8" t="n"/>
      <c r="E44" s="17" t="n"/>
      <c r="F44" s="18">
        <f>IF(OR(C44="",E44=""),"",C44*E44)</f>
        <v/>
      </c>
      <c r="G44" s="17" t="n"/>
      <c r="H44" s="18">
        <f>IF(F44="","",F44-G44)</f>
        <v/>
      </c>
      <c r="I44" s="19">
        <f>IF(OR(F44="",F44=0,G44=""),"",G44/F44)</f>
        <v/>
      </c>
      <c r="J44" s="8" t="n"/>
      <c r="K44" s="9" t="n"/>
    </row>
    <row r="45" ht="20" customHeight="1">
      <c r="A45" s="9" t="n"/>
      <c r="B45" s="9" t="n"/>
      <c r="C45" s="8" t="n"/>
      <c r="D45" s="8" t="n"/>
      <c r="E45" s="17" t="n"/>
      <c r="F45" s="18">
        <f>IF(OR(C45="",E45=""),"",C45*E45)</f>
        <v/>
      </c>
      <c r="G45" s="17" t="n"/>
      <c r="H45" s="18">
        <f>IF(F45="","",F45-G45)</f>
        <v/>
      </c>
      <c r="I45" s="19">
        <f>IF(OR(F45="",F45=0,G45=""),"",G45/F45)</f>
        <v/>
      </c>
      <c r="J45" s="8" t="n"/>
      <c r="K45" s="9" t="n"/>
    </row>
    <row r="46">
      <c r="A46" s="26" t="inlineStr">
        <is>
          <t>TOTAL</t>
        </is>
      </c>
      <c r="B46" s="26" t="n"/>
      <c r="C46" s="26" t="n"/>
      <c r="D46" s="26" t="n"/>
      <c r="E46" s="26" t="n"/>
      <c r="F46" s="27">
        <f>SUM(F6:F45)</f>
        <v/>
      </c>
      <c r="G46" s="27">
        <f>SUM(G6:G45)</f>
        <v/>
      </c>
      <c r="H46" s="27">
        <f>SUM(H6:H45)</f>
        <v/>
      </c>
      <c r="I46" s="26" t="n"/>
      <c r="J46" s="26" t="n"/>
      <c r="K46" s="26" t="n"/>
    </row>
  </sheetData>
  <autoFilter ref="A5:K45"/>
  <conditionalFormatting sqref="H6:H46">
    <cfRule type="expression" priority="1" dxfId="2">
      <formula>AND(ISNUMBER(H6),H6&lt;0)</formula>
    </cfRule>
  </conditionalFormatting>
  <conditionalFormatting sqref="P14:P24">
    <cfRule type="expression" priority="2" dxfId="2">
      <formula>AND(ISNUMBER(P14),P14&lt;0)</formula>
    </cfRule>
  </conditionalFormatting>
  <conditionalFormatting sqref="N9:N10">
    <cfRule type="expression" priority="3" dxfId="2">
      <formula>AND(ISNUMBER(N9),N9&lt;0)</formula>
    </cfRule>
  </conditionalFormatting>
  <conditionalFormatting sqref="I6:I45">
    <cfRule type="expression" priority="4" dxfId="2">
      <formula>AND(ISNUMBER(I6),I6&gt;1)</formula>
    </cfRule>
  </conditionalFormatting>
  <dataValidations count="2">
    <dataValidation sqref="J6:J45" showDropDown="0" showInputMessage="0" showErrorMessage="0" allowBlank="1" type="list">
      <formula1>"Prévu,Commandé,Payé"</formula1>
    </dataValidation>
    <dataValidation sqref="A6:A45" showDropDown="0" showInputMessage="0" showErrorMessage="0" allowBlank="1" type="list">
      <formula1>=$M$14:$M$23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161616"/>
    <outlinePr summaryBelow="1" summaryRight="1"/>
    <pageSetUpPr fitToPage="1"/>
  </sheetPr>
  <dimension ref="A1:H3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24" customWidth="1" min="4" max="4"/>
    <col width="36" customWidth="1" min="5" max="5"/>
    <col width="26" customWidth="1" min="6" max="6"/>
    <col width="26" customWidth="1" min="7" max="7"/>
    <col width="28" customWidth="1" min="8" max="8"/>
  </cols>
  <sheetData>
    <row r="1" ht="30" customHeight="1">
      <c r="A1" s="1" t="inlineStr">
        <is>
          <t>Plan de travail</t>
        </is>
      </c>
    </row>
    <row r="2">
      <c r="A2" s="2" t="inlineStr">
        <is>
          <t>Feuille de route d'une journée de tournage (8h–20h). Renseigne le n° de séquence pour récupérer décor, personnages et matériel. Horaires modifiables. Une ligne sans séquence sert aux pauses, trajets, installations. Lignes 9-11 et 14 = exemples.</t>
        </is>
      </c>
    </row>
    <row r="4">
      <c r="A4" s="3" t="inlineStr">
        <is>
          <t>Date</t>
        </is>
      </c>
      <c r="B4" s="28" t="n">
        <v>46297</v>
      </c>
      <c r="D4" s="5" t="inlineStr">
        <is>
          <t>Lieu</t>
        </is>
      </c>
      <c r="E4" s="11" t="inlineStr">
        <is>
          <t>Studio – adresse</t>
        </is>
      </c>
      <c r="F4" s="5" t="inlineStr">
        <is>
          <t>Contact production</t>
        </is>
      </c>
      <c r="G4" s="11" t="inlineStr">
        <is>
          <t>Nom – 06 00 00 00 00</t>
        </is>
      </c>
    </row>
    <row r="5">
      <c r="A5" s="3" t="inlineStr">
        <is>
          <t>Jour n°</t>
        </is>
      </c>
      <c r="B5" s="11" t="n">
        <v>1</v>
      </c>
      <c r="D5" s="5" t="inlineStr">
        <is>
          <t>Convocation équipe</t>
        </is>
      </c>
      <c r="E5" s="10" t="n">
        <v>0.3541666666666667</v>
      </c>
      <c r="F5" s="5" t="inlineStr">
        <is>
          <t>Météo / lever–coucher soleil</t>
        </is>
      </c>
      <c r="G5" s="11" t="inlineStr"/>
    </row>
    <row r="7" ht="32" customHeight="1">
      <c r="A7" s="7" t="inlineStr">
        <is>
          <t>Début</t>
        </is>
      </c>
      <c r="B7" s="7" t="inlineStr">
        <is>
          <t>Fin</t>
        </is>
      </c>
      <c r="C7" s="7" t="inlineStr">
        <is>
          <t>Séq.</t>
        </is>
      </c>
      <c r="D7" s="7" t="inlineStr">
        <is>
          <t>Décor</t>
        </is>
      </c>
      <c r="E7" s="7" t="inlineStr">
        <is>
          <t>Activité / Plan</t>
        </is>
      </c>
      <c r="F7" s="7" t="inlineStr">
        <is>
          <t>Personnages</t>
        </is>
      </c>
      <c r="G7" s="7" t="inlineStr">
        <is>
          <t>Matériel</t>
        </is>
      </c>
      <c r="H7" s="7" t="inlineStr">
        <is>
          <t>Notes</t>
        </is>
      </c>
    </row>
    <row r="8" ht="20" customHeight="1">
      <c r="A8" s="29" t="n">
        <v>0.3333333333333333</v>
      </c>
      <c r="B8" s="29" t="n">
        <v>0.3541666666666667</v>
      </c>
      <c r="C8" s="8" t="n"/>
      <c r="D8" s="13">
        <f>IF($C8="","",IFERROR(INDEX('Dépouillement'!$B$6:$B$65,MATCH($C8,'Dépouillement'!$A$6:$A$65,0)),"Séq. introuvable"))</f>
        <v/>
      </c>
      <c r="E8" s="9" t="n"/>
      <c r="F8" s="13">
        <f>IF($C8="","",IFERROR(INDEX('Dépouillement'!$F$6:$F$65,MATCH($C8,'Dépouillement'!$A$6:$A$65,0)),"Séq. introuvable"))</f>
        <v/>
      </c>
      <c r="G8" s="13">
        <f>IF($C8="","",IFERROR(INDEX('Dépouillement'!$J$6:$J$65,MATCH($C8,'Dépouillement'!$A$6:$A$65,0)),"Séq. introuvable"))</f>
        <v/>
      </c>
      <c r="H8" s="9" t="n"/>
    </row>
    <row r="9" ht="20" customHeight="1">
      <c r="A9" s="29" t="n">
        <v>0.3541666666666667</v>
      </c>
      <c r="B9" s="29" t="n">
        <v>0.375</v>
      </c>
      <c r="C9" s="8" t="n"/>
      <c r="D9" s="13">
        <f>IF($C9="","",IFERROR(INDEX('Dépouillement'!$B$6:$B$65,MATCH($C9,'Dépouillement'!$A$6:$A$65,0)),"Séq. introuvable"))</f>
        <v/>
      </c>
      <c r="E9" s="9" t="inlineStr">
        <is>
          <t>Installation lumière</t>
        </is>
      </c>
      <c r="F9" s="13">
        <f>IF($C9="","",IFERROR(INDEX('Dépouillement'!$F$6:$F$65,MATCH($C9,'Dépouillement'!$A$6:$A$65,0)),"Séq. introuvable"))</f>
        <v/>
      </c>
      <c r="G9" s="13">
        <f>IF($C9="","",IFERROR(INDEX('Dépouillement'!$J$6:$J$65,MATCH($C9,'Dépouillement'!$A$6:$A$65,0)),"Séq. introuvable"))</f>
        <v/>
      </c>
      <c r="H9" s="9" t="inlineStr">
        <is>
          <t>Exemple – à remplacer</t>
        </is>
      </c>
    </row>
    <row r="10" ht="20" customHeight="1">
      <c r="A10" s="29" t="n">
        <v>0.375</v>
      </c>
      <c r="B10" s="29" t="n">
        <v>0.3958333333333333</v>
      </c>
      <c r="C10" s="8" t="n">
        <v>1</v>
      </c>
      <c r="D10" s="13">
        <f>IF($C10="","",IFERROR(INDEX('Dépouillement'!$B$6:$B$65,MATCH($C10,'Dépouillement'!$A$6:$A$65,0)),"Séq. introuvable"))</f>
        <v/>
      </c>
      <c r="E10" s="9" t="inlineStr">
        <is>
          <t>Plan 1 – cadrage large</t>
        </is>
      </c>
      <c r="F10" s="13">
        <f>IF($C10="","",IFERROR(INDEX('Dépouillement'!$F$6:$F$65,MATCH($C10,'Dépouillement'!$A$6:$A$65,0)),"Séq. introuvable"))</f>
        <v/>
      </c>
      <c r="G10" s="13">
        <f>IF($C10="","",IFERROR(INDEX('Dépouillement'!$J$6:$J$65,MATCH($C10,'Dépouillement'!$A$6:$A$65,0)),"Séq. introuvable"))</f>
        <v/>
      </c>
      <c r="H10" s="9" t="inlineStr">
        <is>
          <t>Exemple – à remplacer</t>
        </is>
      </c>
    </row>
    <row r="11" ht="20" customHeight="1">
      <c r="A11" s="29" t="n">
        <v>0.3958333333333333</v>
      </c>
      <c r="B11" s="29" t="n">
        <v>0.4166666666666667</v>
      </c>
      <c r="C11" s="8" t="n">
        <v>1</v>
      </c>
      <c r="D11" s="13">
        <f>IF($C11="","",IFERROR(INDEX('Dépouillement'!$B$6:$B$65,MATCH($C11,'Dépouillement'!$A$6:$A$65,0)),"Séq. introuvable"))</f>
        <v/>
      </c>
      <c r="E11" s="9" t="inlineStr">
        <is>
          <t>Plan 2 – gros plan lettre</t>
        </is>
      </c>
      <c r="F11" s="13">
        <f>IF($C11="","",IFERROR(INDEX('Dépouillement'!$F$6:$F$65,MATCH($C11,'Dépouillement'!$A$6:$A$65,0)),"Séq. introuvable"))</f>
        <v/>
      </c>
      <c r="G11" s="13">
        <f>IF($C11="","",IFERROR(INDEX('Dépouillement'!$J$6:$J$65,MATCH($C11,'Dépouillement'!$A$6:$A$65,0)),"Séq. introuvable"))</f>
        <v/>
      </c>
      <c r="H11" s="9" t="inlineStr">
        <is>
          <t>Exemple – à remplacer</t>
        </is>
      </c>
    </row>
    <row r="12" ht="20" customHeight="1">
      <c r="A12" s="29" t="n">
        <v>0.4166666666666667</v>
      </c>
      <c r="B12" s="29" t="n">
        <v>0.4375</v>
      </c>
      <c r="C12" s="8" t="n"/>
      <c r="D12" s="13">
        <f>IF($C12="","",IFERROR(INDEX('Dépouillement'!$B$6:$B$65,MATCH($C12,'Dépouillement'!$A$6:$A$65,0)),"Séq. introuvable"))</f>
        <v/>
      </c>
      <c r="E12" s="9" t="n"/>
      <c r="F12" s="13">
        <f>IF($C12="","",IFERROR(INDEX('Dépouillement'!$F$6:$F$65,MATCH($C12,'Dépouillement'!$A$6:$A$65,0)),"Séq. introuvable"))</f>
        <v/>
      </c>
      <c r="G12" s="13">
        <f>IF($C12="","",IFERROR(INDEX('Dépouillement'!$J$6:$J$65,MATCH($C12,'Dépouillement'!$A$6:$A$65,0)),"Séq. introuvable"))</f>
        <v/>
      </c>
      <c r="H12" s="9" t="n"/>
    </row>
    <row r="13" ht="20" customHeight="1">
      <c r="A13" s="29" t="n">
        <v>0.4375</v>
      </c>
      <c r="B13" s="29" t="n">
        <v>0.4583333333333333</v>
      </c>
      <c r="C13" s="8" t="n"/>
      <c r="D13" s="13">
        <f>IF($C13="","",IFERROR(INDEX('Dépouillement'!$B$6:$B$65,MATCH($C13,'Dépouillement'!$A$6:$A$65,0)),"Séq. introuvable"))</f>
        <v/>
      </c>
      <c r="E13" s="9" t="n"/>
      <c r="F13" s="13">
        <f>IF($C13="","",IFERROR(INDEX('Dépouillement'!$F$6:$F$65,MATCH($C13,'Dépouillement'!$A$6:$A$65,0)),"Séq. introuvable"))</f>
        <v/>
      </c>
      <c r="G13" s="13">
        <f>IF($C13="","",IFERROR(INDEX('Dépouillement'!$J$6:$J$65,MATCH($C13,'Dépouillement'!$A$6:$A$65,0)),"Séq. introuvable"))</f>
        <v/>
      </c>
      <c r="H13" s="9" t="n"/>
    </row>
    <row r="14" ht="20" customHeight="1">
      <c r="A14" s="29" t="n">
        <v>0.4583333333333333</v>
      </c>
      <c r="B14" s="29" t="n">
        <v>0.4791666666666667</v>
      </c>
      <c r="C14" s="8" t="n"/>
      <c r="D14" s="13">
        <f>IF($C14="","",IFERROR(INDEX('Dépouillement'!$B$6:$B$65,MATCH($C14,'Dépouillement'!$A$6:$A$65,0)),"Séq. introuvable"))</f>
        <v/>
      </c>
      <c r="E14" s="9" t="inlineStr">
        <is>
          <t>Pause déjeuner</t>
        </is>
      </c>
      <c r="F14" s="13">
        <f>IF($C14="","",IFERROR(INDEX('Dépouillement'!$F$6:$F$65,MATCH($C14,'Dépouillement'!$A$6:$A$65,0)),"Séq. introuvable"))</f>
        <v/>
      </c>
      <c r="G14" s="13">
        <f>IF($C14="","",IFERROR(INDEX('Dépouillement'!$J$6:$J$65,MATCH($C14,'Dépouillement'!$A$6:$A$65,0)),"Séq. introuvable"))</f>
        <v/>
      </c>
      <c r="H14" s="9" t="inlineStr">
        <is>
          <t>Exemple – à remplacer</t>
        </is>
      </c>
    </row>
    <row r="15" ht="20" customHeight="1">
      <c r="A15" s="29" t="n">
        <v>0.4791666666666667</v>
      </c>
      <c r="B15" s="29" t="n">
        <v>0.5</v>
      </c>
      <c r="C15" s="8" t="n"/>
      <c r="D15" s="13">
        <f>IF($C15="","",IFERROR(INDEX('Dépouillement'!$B$6:$B$65,MATCH($C15,'Dépouillement'!$A$6:$A$65,0)),"Séq. introuvable"))</f>
        <v/>
      </c>
      <c r="E15" s="9" t="n"/>
      <c r="F15" s="13">
        <f>IF($C15="","",IFERROR(INDEX('Dépouillement'!$F$6:$F$65,MATCH($C15,'Dépouillement'!$A$6:$A$65,0)),"Séq. introuvable"))</f>
        <v/>
      </c>
      <c r="G15" s="13">
        <f>IF($C15="","",IFERROR(INDEX('Dépouillement'!$J$6:$J$65,MATCH($C15,'Dépouillement'!$A$6:$A$65,0)),"Séq. introuvable"))</f>
        <v/>
      </c>
      <c r="H15" s="9" t="n"/>
    </row>
    <row r="16" ht="20" customHeight="1">
      <c r="A16" s="29" t="n">
        <v>0.5</v>
      </c>
      <c r="B16" s="29" t="n">
        <v>0.5208333333333334</v>
      </c>
      <c r="C16" s="8" t="n"/>
      <c r="D16" s="13">
        <f>IF($C16="","",IFERROR(INDEX('Dépouillement'!$B$6:$B$65,MATCH($C16,'Dépouillement'!$A$6:$A$65,0)),"Séq. introuvable"))</f>
        <v/>
      </c>
      <c r="E16" s="9" t="n"/>
      <c r="F16" s="13">
        <f>IF($C16="","",IFERROR(INDEX('Dépouillement'!$F$6:$F$65,MATCH($C16,'Dépouillement'!$A$6:$A$65,0)),"Séq. introuvable"))</f>
        <v/>
      </c>
      <c r="G16" s="13">
        <f>IF($C16="","",IFERROR(INDEX('Dépouillement'!$J$6:$J$65,MATCH($C16,'Dépouillement'!$A$6:$A$65,0)),"Séq. introuvable"))</f>
        <v/>
      </c>
      <c r="H16" s="9" t="n"/>
    </row>
    <row r="17" ht="20" customHeight="1">
      <c r="A17" s="29" t="n">
        <v>0.5208333333333334</v>
      </c>
      <c r="B17" s="29" t="n">
        <v>0.5416666666666666</v>
      </c>
      <c r="C17" s="8" t="n"/>
      <c r="D17" s="13">
        <f>IF($C17="","",IFERROR(INDEX('Dépouillement'!$B$6:$B$65,MATCH($C17,'Dépouillement'!$A$6:$A$65,0)),"Séq. introuvable"))</f>
        <v/>
      </c>
      <c r="E17" s="9" t="n"/>
      <c r="F17" s="13">
        <f>IF($C17="","",IFERROR(INDEX('Dépouillement'!$F$6:$F$65,MATCH($C17,'Dépouillement'!$A$6:$A$65,0)),"Séq. introuvable"))</f>
        <v/>
      </c>
      <c r="G17" s="13">
        <f>IF($C17="","",IFERROR(INDEX('Dépouillement'!$J$6:$J$65,MATCH($C17,'Dépouillement'!$A$6:$A$65,0)),"Séq. introuvable"))</f>
        <v/>
      </c>
      <c r="H17" s="9" t="n"/>
    </row>
    <row r="18" ht="20" customHeight="1">
      <c r="A18" s="29" t="n">
        <v>0.5416666666666666</v>
      </c>
      <c r="B18" s="29" t="n">
        <v>0.5625</v>
      </c>
      <c r="C18" s="8" t="n"/>
      <c r="D18" s="13">
        <f>IF($C18="","",IFERROR(INDEX('Dépouillement'!$B$6:$B$65,MATCH($C18,'Dépouillement'!$A$6:$A$65,0)),"Séq. introuvable"))</f>
        <v/>
      </c>
      <c r="E18" s="9" t="n"/>
      <c r="F18" s="13">
        <f>IF($C18="","",IFERROR(INDEX('Dépouillement'!$F$6:$F$65,MATCH($C18,'Dépouillement'!$A$6:$A$65,0)),"Séq. introuvable"))</f>
        <v/>
      </c>
      <c r="G18" s="13">
        <f>IF($C18="","",IFERROR(INDEX('Dépouillement'!$J$6:$J$65,MATCH($C18,'Dépouillement'!$A$6:$A$65,0)),"Séq. introuvable"))</f>
        <v/>
      </c>
      <c r="H18" s="9" t="n"/>
    </row>
    <row r="19" ht="20" customHeight="1">
      <c r="A19" s="29" t="n">
        <v>0.5625</v>
      </c>
      <c r="B19" s="29" t="n">
        <v>0.5833333333333334</v>
      </c>
      <c r="C19" s="8" t="n"/>
      <c r="D19" s="13">
        <f>IF($C19="","",IFERROR(INDEX('Dépouillement'!$B$6:$B$65,MATCH($C19,'Dépouillement'!$A$6:$A$65,0)),"Séq. introuvable"))</f>
        <v/>
      </c>
      <c r="E19" s="9" t="n"/>
      <c r="F19" s="13">
        <f>IF($C19="","",IFERROR(INDEX('Dépouillement'!$F$6:$F$65,MATCH($C19,'Dépouillement'!$A$6:$A$65,0)),"Séq. introuvable"))</f>
        <v/>
      </c>
      <c r="G19" s="13">
        <f>IF($C19="","",IFERROR(INDEX('Dépouillement'!$J$6:$J$65,MATCH($C19,'Dépouillement'!$A$6:$A$65,0)),"Séq. introuvable"))</f>
        <v/>
      </c>
      <c r="H19" s="9" t="n"/>
    </row>
    <row r="20" ht="20" customHeight="1">
      <c r="A20" s="29" t="n">
        <v>0.5833333333333334</v>
      </c>
      <c r="B20" s="29" t="n">
        <v>0.6041666666666666</v>
      </c>
      <c r="C20" s="8" t="n"/>
      <c r="D20" s="13">
        <f>IF($C20="","",IFERROR(INDEX('Dépouillement'!$B$6:$B$65,MATCH($C20,'Dépouillement'!$A$6:$A$65,0)),"Séq. introuvable"))</f>
        <v/>
      </c>
      <c r="E20" s="9" t="n"/>
      <c r="F20" s="13">
        <f>IF($C20="","",IFERROR(INDEX('Dépouillement'!$F$6:$F$65,MATCH($C20,'Dépouillement'!$A$6:$A$65,0)),"Séq. introuvable"))</f>
        <v/>
      </c>
      <c r="G20" s="13">
        <f>IF($C20="","",IFERROR(INDEX('Dépouillement'!$J$6:$J$65,MATCH($C20,'Dépouillement'!$A$6:$A$65,0)),"Séq. introuvable"))</f>
        <v/>
      </c>
      <c r="H20" s="9" t="n"/>
    </row>
    <row r="21" ht="20" customHeight="1">
      <c r="A21" s="29" t="n">
        <v>0.6041666666666666</v>
      </c>
      <c r="B21" s="29" t="n">
        <v>0.625</v>
      </c>
      <c r="C21" s="8" t="n"/>
      <c r="D21" s="13">
        <f>IF($C21="","",IFERROR(INDEX('Dépouillement'!$B$6:$B$65,MATCH($C21,'Dépouillement'!$A$6:$A$65,0)),"Séq. introuvable"))</f>
        <v/>
      </c>
      <c r="E21" s="9" t="n"/>
      <c r="F21" s="13">
        <f>IF($C21="","",IFERROR(INDEX('Dépouillement'!$F$6:$F$65,MATCH($C21,'Dépouillement'!$A$6:$A$65,0)),"Séq. introuvable"))</f>
        <v/>
      </c>
      <c r="G21" s="13">
        <f>IF($C21="","",IFERROR(INDEX('Dépouillement'!$J$6:$J$65,MATCH($C21,'Dépouillement'!$A$6:$A$65,0)),"Séq. introuvable"))</f>
        <v/>
      </c>
      <c r="H21" s="9" t="n"/>
    </row>
    <row r="22" ht="20" customHeight="1">
      <c r="A22" s="29" t="n">
        <v>0.625</v>
      </c>
      <c r="B22" s="29" t="n">
        <v>0.6458333333333334</v>
      </c>
      <c r="C22" s="8" t="n"/>
      <c r="D22" s="13">
        <f>IF($C22="","",IFERROR(INDEX('Dépouillement'!$B$6:$B$65,MATCH($C22,'Dépouillement'!$A$6:$A$65,0)),"Séq. introuvable"))</f>
        <v/>
      </c>
      <c r="E22" s="9" t="n"/>
      <c r="F22" s="13">
        <f>IF($C22="","",IFERROR(INDEX('Dépouillement'!$F$6:$F$65,MATCH($C22,'Dépouillement'!$A$6:$A$65,0)),"Séq. introuvable"))</f>
        <v/>
      </c>
      <c r="G22" s="13">
        <f>IF($C22="","",IFERROR(INDEX('Dépouillement'!$J$6:$J$65,MATCH($C22,'Dépouillement'!$A$6:$A$65,0)),"Séq. introuvable"))</f>
        <v/>
      </c>
      <c r="H22" s="9" t="n"/>
    </row>
    <row r="23" ht="20" customHeight="1">
      <c r="A23" s="29" t="n">
        <v>0.6458333333333334</v>
      </c>
      <c r="B23" s="29" t="n">
        <v>0.6666666666666666</v>
      </c>
      <c r="C23" s="8" t="n"/>
      <c r="D23" s="13">
        <f>IF($C23="","",IFERROR(INDEX('Dépouillement'!$B$6:$B$65,MATCH($C23,'Dépouillement'!$A$6:$A$65,0)),"Séq. introuvable"))</f>
        <v/>
      </c>
      <c r="E23" s="9" t="n"/>
      <c r="F23" s="13">
        <f>IF($C23="","",IFERROR(INDEX('Dépouillement'!$F$6:$F$65,MATCH($C23,'Dépouillement'!$A$6:$A$65,0)),"Séq. introuvable"))</f>
        <v/>
      </c>
      <c r="G23" s="13">
        <f>IF($C23="","",IFERROR(INDEX('Dépouillement'!$J$6:$J$65,MATCH($C23,'Dépouillement'!$A$6:$A$65,0)),"Séq. introuvable"))</f>
        <v/>
      </c>
      <c r="H23" s="9" t="n"/>
    </row>
    <row r="24" ht="20" customHeight="1">
      <c r="A24" s="29" t="n">
        <v>0.6666666666666666</v>
      </c>
      <c r="B24" s="29" t="n">
        <v>0.6875</v>
      </c>
      <c r="C24" s="8" t="n"/>
      <c r="D24" s="13">
        <f>IF($C24="","",IFERROR(INDEX('Dépouillement'!$B$6:$B$65,MATCH($C24,'Dépouillement'!$A$6:$A$65,0)),"Séq. introuvable"))</f>
        <v/>
      </c>
      <c r="E24" s="9" t="n"/>
      <c r="F24" s="13">
        <f>IF($C24="","",IFERROR(INDEX('Dépouillement'!$F$6:$F$65,MATCH($C24,'Dépouillement'!$A$6:$A$65,0)),"Séq. introuvable"))</f>
        <v/>
      </c>
      <c r="G24" s="13">
        <f>IF($C24="","",IFERROR(INDEX('Dépouillement'!$J$6:$J$65,MATCH($C24,'Dépouillement'!$A$6:$A$65,0)),"Séq. introuvable"))</f>
        <v/>
      </c>
      <c r="H24" s="9" t="n"/>
    </row>
    <row r="25" ht="20" customHeight="1">
      <c r="A25" s="29" t="n">
        <v>0.6875</v>
      </c>
      <c r="B25" s="29" t="n">
        <v>0.7083333333333334</v>
      </c>
      <c r="C25" s="8" t="n"/>
      <c r="D25" s="13">
        <f>IF($C25="","",IFERROR(INDEX('Dépouillement'!$B$6:$B$65,MATCH($C25,'Dépouillement'!$A$6:$A$65,0)),"Séq. introuvable"))</f>
        <v/>
      </c>
      <c r="E25" s="9" t="n"/>
      <c r="F25" s="13">
        <f>IF($C25="","",IFERROR(INDEX('Dépouillement'!$F$6:$F$65,MATCH($C25,'Dépouillement'!$A$6:$A$65,0)),"Séq. introuvable"))</f>
        <v/>
      </c>
      <c r="G25" s="13">
        <f>IF($C25="","",IFERROR(INDEX('Dépouillement'!$J$6:$J$65,MATCH($C25,'Dépouillement'!$A$6:$A$65,0)),"Séq. introuvable"))</f>
        <v/>
      </c>
      <c r="H25" s="9" t="n"/>
    </row>
    <row r="26" ht="20" customHeight="1">
      <c r="A26" s="29" t="n">
        <v>0.7083333333333334</v>
      </c>
      <c r="B26" s="29" t="n">
        <v>0.7291666666666666</v>
      </c>
      <c r="C26" s="8" t="n"/>
      <c r="D26" s="13">
        <f>IF($C26="","",IFERROR(INDEX('Dépouillement'!$B$6:$B$65,MATCH($C26,'Dépouillement'!$A$6:$A$65,0)),"Séq. introuvable"))</f>
        <v/>
      </c>
      <c r="E26" s="9" t="n"/>
      <c r="F26" s="13">
        <f>IF($C26="","",IFERROR(INDEX('Dépouillement'!$F$6:$F$65,MATCH($C26,'Dépouillement'!$A$6:$A$65,0)),"Séq. introuvable"))</f>
        <v/>
      </c>
      <c r="G26" s="13">
        <f>IF($C26="","",IFERROR(INDEX('Dépouillement'!$J$6:$J$65,MATCH($C26,'Dépouillement'!$A$6:$A$65,0)),"Séq. introuvable"))</f>
        <v/>
      </c>
      <c r="H26" s="9" t="n"/>
    </row>
    <row r="27" ht="20" customHeight="1">
      <c r="A27" s="29" t="n">
        <v>0.7291666666666666</v>
      </c>
      <c r="B27" s="29" t="n">
        <v>0.75</v>
      </c>
      <c r="C27" s="8" t="n"/>
      <c r="D27" s="13">
        <f>IF($C27="","",IFERROR(INDEX('Dépouillement'!$B$6:$B$65,MATCH($C27,'Dépouillement'!$A$6:$A$65,0)),"Séq. introuvable"))</f>
        <v/>
      </c>
      <c r="E27" s="9" t="n"/>
      <c r="F27" s="13">
        <f>IF($C27="","",IFERROR(INDEX('Dépouillement'!$F$6:$F$65,MATCH($C27,'Dépouillement'!$A$6:$A$65,0)),"Séq. introuvable"))</f>
        <v/>
      </c>
      <c r="G27" s="13">
        <f>IF($C27="","",IFERROR(INDEX('Dépouillement'!$J$6:$J$65,MATCH($C27,'Dépouillement'!$A$6:$A$65,0)),"Séq. introuvable"))</f>
        <v/>
      </c>
      <c r="H27" s="9" t="n"/>
    </row>
    <row r="28" ht="20" customHeight="1">
      <c r="A28" s="29" t="n">
        <v>0.75</v>
      </c>
      <c r="B28" s="29" t="n">
        <v>0.7708333333333334</v>
      </c>
      <c r="C28" s="8" t="n"/>
      <c r="D28" s="13">
        <f>IF($C28="","",IFERROR(INDEX('Dépouillement'!$B$6:$B$65,MATCH($C28,'Dépouillement'!$A$6:$A$65,0)),"Séq. introuvable"))</f>
        <v/>
      </c>
      <c r="E28" s="9" t="n"/>
      <c r="F28" s="13">
        <f>IF($C28="","",IFERROR(INDEX('Dépouillement'!$F$6:$F$65,MATCH($C28,'Dépouillement'!$A$6:$A$65,0)),"Séq. introuvable"))</f>
        <v/>
      </c>
      <c r="G28" s="13">
        <f>IF($C28="","",IFERROR(INDEX('Dépouillement'!$J$6:$J$65,MATCH($C28,'Dépouillement'!$A$6:$A$65,0)),"Séq. introuvable"))</f>
        <v/>
      </c>
      <c r="H28" s="9" t="n"/>
    </row>
    <row r="29" ht="20" customHeight="1">
      <c r="A29" s="29" t="n">
        <v>0.7708333333333334</v>
      </c>
      <c r="B29" s="29" t="n">
        <v>0.7916666666666666</v>
      </c>
      <c r="C29" s="8" t="n"/>
      <c r="D29" s="13">
        <f>IF($C29="","",IFERROR(INDEX('Dépouillement'!$B$6:$B$65,MATCH($C29,'Dépouillement'!$A$6:$A$65,0)),"Séq. introuvable"))</f>
        <v/>
      </c>
      <c r="E29" s="9" t="n"/>
      <c r="F29" s="13">
        <f>IF($C29="","",IFERROR(INDEX('Dépouillement'!$F$6:$F$65,MATCH($C29,'Dépouillement'!$A$6:$A$65,0)),"Séq. introuvable"))</f>
        <v/>
      </c>
      <c r="G29" s="13">
        <f>IF($C29="","",IFERROR(INDEX('Dépouillement'!$J$6:$J$65,MATCH($C29,'Dépouillement'!$A$6:$A$65,0)),"Séq. introuvable"))</f>
        <v/>
      </c>
      <c r="H29" s="9" t="n"/>
    </row>
    <row r="30" ht="20" customHeight="1">
      <c r="A30" s="29" t="n">
        <v>0.7916666666666666</v>
      </c>
      <c r="B30" s="29" t="n">
        <v>0.8125</v>
      </c>
      <c r="C30" s="8" t="n"/>
      <c r="D30" s="13">
        <f>IF($C30="","",IFERROR(INDEX('Dépouillement'!$B$6:$B$65,MATCH($C30,'Dépouillement'!$A$6:$A$65,0)),"Séq. introuvable"))</f>
        <v/>
      </c>
      <c r="E30" s="9" t="n"/>
      <c r="F30" s="13">
        <f>IF($C30="","",IFERROR(INDEX('Dépouillement'!$F$6:$F$65,MATCH($C30,'Dépouillement'!$A$6:$A$65,0)),"Séq. introuvable"))</f>
        <v/>
      </c>
      <c r="G30" s="13">
        <f>IF($C30="","",IFERROR(INDEX('Dépouillement'!$J$6:$J$65,MATCH($C30,'Dépouillement'!$A$6:$A$65,0)),"Séq. introuvable"))</f>
        <v/>
      </c>
      <c r="H30" s="9" t="n"/>
    </row>
    <row r="31" ht="20" customHeight="1">
      <c r="A31" s="29" t="n">
        <v>0.8125</v>
      </c>
      <c r="B31" s="29" t="n">
        <v>0.8333333333333334</v>
      </c>
      <c r="C31" s="8" t="n"/>
      <c r="D31" s="13">
        <f>IF($C31="","",IFERROR(INDEX('Dépouillement'!$B$6:$B$65,MATCH($C31,'Dépouillement'!$A$6:$A$65,0)),"Séq. introuvable"))</f>
        <v/>
      </c>
      <c r="E31" s="9" t="n"/>
      <c r="F31" s="13">
        <f>IF($C31="","",IFERROR(INDEX('Dépouillement'!$F$6:$F$65,MATCH($C31,'Dépouillement'!$A$6:$A$65,0)),"Séq. introuvable"))</f>
        <v/>
      </c>
      <c r="G31" s="13">
        <f>IF($C31="","",IFERROR(INDEX('Dépouillement'!$J$6:$J$65,MATCH($C31,'Dépouillement'!$A$6:$A$65,0)),"Séq. introuvable"))</f>
        <v/>
      </c>
      <c r="H31" s="9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2026-10-02T20:06:26Z</dcterms:created>
  <dcterms:modified xsi:type="dcterms:W3CDTF">2026-10-02T20:06:26Z</dcterms:modified>
</cp:coreProperties>
</file>